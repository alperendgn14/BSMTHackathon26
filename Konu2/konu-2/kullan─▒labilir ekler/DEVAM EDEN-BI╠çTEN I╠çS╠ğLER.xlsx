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İTEN İŞLER" sheetId="3" r:id="rId1"/>
    <sheet name="DEVAM EDEN İŞL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rFont val="SimSun"/>
            <charset val="134"/>
          </rPr>
          <t>Format: proje kod no - ay ve yıl 
======</t>
        </r>
      </text>
    </comment>
    <comment ref="B33" authorId="0">
      <text>
        <r>
          <rPr>
            <sz val="10"/>
            <rFont val="SimSun"/>
            <charset val="134"/>
          </rPr>
          <t>24 02 tarihinde bu  kod verildi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rFont val="SimSun"/>
            <charset val="134"/>
          </rPr>
          <t>Format: proje kod no - ay ve yıl 
======</t>
        </r>
      </text>
    </comment>
    <comment ref="B33" authorId="0">
      <text>
        <r>
          <rPr>
            <sz val="10"/>
            <rFont val="SimSun"/>
            <charset val="134"/>
          </rPr>
          <t>24 02 tarihinde bu  kod verildi
======</t>
        </r>
      </text>
    </comment>
  </commentList>
</comments>
</file>

<file path=xl/sharedStrings.xml><?xml version="1.0" encoding="utf-8"?>
<sst xmlns="http://schemas.openxmlformats.org/spreadsheetml/2006/main" count="3273" uniqueCount="819">
  <si>
    <t>TEKLİF TAKİBİ LİSTESİ</t>
  </si>
  <si>
    <t>Sonuç</t>
  </si>
  <si>
    <t>No</t>
  </si>
  <si>
    <t>Hazırlayan</t>
  </si>
  <si>
    <t>Müşteri</t>
  </si>
  <si>
    <t>Müşteri Yetkilisi</t>
  </si>
  <si>
    <t>Teklifin Tanımı</t>
  </si>
  <si>
    <t>Talep Tarihi</t>
  </si>
  <si>
    <t>Teklif                     Verilme Tarihi</t>
  </si>
  <si>
    <t>Teklif Son Tarihi</t>
  </si>
  <si>
    <t>Para Birimi</t>
  </si>
  <si>
    <t xml:space="preserve">Fiyat </t>
  </si>
  <si>
    <t>Fiyat (R1)</t>
  </si>
  <si>
    <t>Fiyat (R2)</t>
  </si>
  <si>
    <t>Fiyat (R3)</t>
  </si>
  <si>
    <t>Fiyat (R4)</t>
  </si>
  <si>
    <t>Son Fiyat (EUR)</t>
  </si>
  <si>
    <t>Son Durum</t>
  </si>
  <si>
    <t>ALINDI</t>
  </si>
  <si>
    <t>002-0924</t>
  </si>
  <si>
    <t>Veysel</t>
  </si>
  <si>
    <t>Linde Yunanistan</t>
  </si>
  <si>
    <t>Stefanos Chioitis</t>
  </si>
  <si>
    <t>Relokasyon Projeleri</t>
  </si>
  <si>
    <t>€</t>
  </si>
  <si>
    <t>003-0125</t>
  </si>
  <si>
    <t>Lale</t>
  </si>
  <si>
    <t>Ford Eskişehir</t>
  </si>
  <si>
    <t>Özgür Gölbol</t>
  </si>
  <si>
    <t>Grill Parçaları Fikstür</t>
  </si>
  <si>
    <t>005-0125</t>
  </si>
  <si>
    <t>Alperen Öztürk</t>
  </si>
  <si>
    <t>KAM ŞİMİ HATA ÖNLEME OTOMASYONU</t>
  </si>
  <si>
    <t>006-1024</t>
  </si>
  <si>
    <t>Samet Keser</t>
  </si>
  <si>
    <t xml:space="preserve">BMC Power </t>
  </si>
  <si>
    <t>Arif Murat Kaptan</t>
  </si>
  <si>
    <t xml:space="preserve">Hız Azaltan Test Sistemi </t>
  </si>
  <si>
    <t>009-0125</t>
  </si>
  <si>
    <t>Uno</t>
  </si>
  <si>
    <t>Tamer Örsel</t>
  </si>
  <si>
    <t xml:space="preserve">İlave İşler - Personel Desteği </t>
  </si>
  <si>
    <t>015-0125</t>
  </si>
  <si>
    <t>Türk Traktör Ankara</t>
  </si>
  <si>
    <t>Batuhan Şili</t>
  </si>
  <si>
    <t>Demontaj İşi</t>
  </si>
  <si>
    <t>017-0125</t>
  </si>
  <si>
    <t>Bosch Rexroth</t>
  </si>
  <si>
    <t>Andaç Çakır</t>
  </si>
  <si>
    <t>Doka Demontaj Dış Alana Taşıma</t>
  </si>
  <si>
    <t>TRY</t>
  </si>
  <si>
    <t>019-0125</t>
  </si>
  <si>
    <t>Ahmet Uçar</t>
  </si>
  <si>
    <t>Env. No 1160357 Mf Sprint 42 Dış alana Taşıma İşi 1</t>
  </si>
  <si>
    <t>020-0125</t>
  </si>
  <si>
    <t xml:space="preserve"> Env. No 1160356 Mf Sprint 42 Dış alana Taşıma İşi 2</t>
  </si>
  <si>
    <t>021-0125</t>
  </si>
  <si>
    <t xml:space="preserve"> Env. No 1160353 Gmc 35 Makinesinin Dış alana Taşıma İşi 2</t>
  </si>
  <si>
    <t>022-0125</t>
  </si>
  <si>
    <t xml:space="preserve"> Env. No 1160355 Gmc 35 Makinesinin Dış alana Taşıma İşi 1</t>
  </si>
  <si>
    <t>024-0125</t>
  </si>
  <si>
    <t>Kaplanlar</t>
  </si>
  <si>
    <t>Enis Çetiner</t>
  </si>
  <si>
    <t>Fabrika Taşıma İşi</t>
  </si>
  <si>
    <t>025-0125</t>
  </si>
  <si>
    <t>2025 Personel Desteği</t>
  </si>
  <si>
    <t>029-0125</t>
  </si>
  <si>
    <t>irem</t>
  </si>
  <si>
    <t xml:space="preserve">Mitsubishi </t>
  </si>
  <si>
    <t>Berke Yalçınkaya</t>
  </si>
  <si>
    <t xml:space="preserve">Kalıp Taşıma İşi </t>
  </si>
  <si>
    <t>$</t>
  </si>
  <si>
    <t>034-0125</t>
  </si>
  <si>
    <t>Toyota Tsusho</t>
  </si>
  <si>
    <t>Melih Tek</t>
  </si>
  <si>
    <t>Toyota Tsusho Kapak Değişimi</t>
  </si>
  <si>
    <t>037-0125</t>
  </si>
  <si>
    <t>Melcan Türünç</t>
  </si>
  <si>
    <t xml:space="preserve">Tavan Karkas Fikstüründe Revizyon İşleri </t>
  </si>
  <si>
    <t>041-0325</t>
  </si>
  <si>
    <t>Elif Tamir</t>
  </si>
  <si>
    <t>Makine İndirme ve Kurulum Personel Desteği</t>
  </si>
  <si>
    <t>042-0125</t>
  </si>
  <si>
    <t>Beko</t>
  </si>
  <si>
    <t>Alican Şehitoğlu</t>
  </si>
  <si>
    <t>Grout İşi</t>
  </si>
  <si>
    <t>045-0125</t>
  </si>
  <si>
    <t>Poli Fırın Demontaj İşleri</t>
  </si>
  <si>
    <t>048-0125</t>
  </si>
  <si>
    <t>Nuray Borinli</t>
  </si>
  <si>
    <t>Ekipman Desteği</t>
  </si>
  <si>
    <t>059-0225</t>
  </si>
  <si>
    <t xml:space="preserve">Uno </t>
  </si>
  <si>
    <t>Emrullah Çizmeci</t>
  </si>
  <si>
    <t>Personel Desteği</t>
  </si>
  <si>
    <t>061-0225</t>
  </si>
  <si>
    <t xml:space="preserve">Linde </t>
  </si>
  <si>
    <t>Işık Özgen</t>
  </si>
  <si>
    <t>066-0225</t>
  </si>
  <si>
    <t>Tırsan</t>
  </si>
  <si>
    <t>Fatih Mert Toraman</t>
  </si>
  <si>
    <t>077-0225</t>
  </si>
  <si>
    <t>Valeo</t>
  </si>
  <si>
    <t>Seçkin Dursun</t>
  </si>
  <si>
    <t>Fabrika Taşıma İşi Step 1 Nilüfer Fab</t>
  </si>
  <si>
    <t>078-0225</t>
  </si>
  <si>
    <t>Doruk Sınıkçı</t>
  </si>
  <si>
    <t>Travers Montaj ve Döküm Parça Kaldırma Aparatı imalatı</t>
  </si>
  <si>
    <t>079-0225</t>
  </si>
  <si>
    <t>rdrob</t>
  </si>
  <si>
    <t>Tahir Sezer</t>
  </si>
  <si>
    <t>MANUEL TİP TRAŞLAMA MAKİNELERİNE ENERJİ ÇEKİLMESİ</t>
  </si>
  <si>
    <t>082-0225</t>
  </si>
  <si>
    <t>F.Sayar</t>
  </si>
  <si>
    <t>Gufran Artarlar</t>
  </si>
  <si>
    <t>Taşıma(Askı Aparatı Asma) Arabası İmalatı</t>
  </si>
  <si>
    <t>083-0225</t>
  </si>
  <si>
    <t>Danfoss</t>
  </si>
  <si>
    <t>Melike Yılmaztürk</t>
  </si>
  <si>
    <t>Kazan Dairesi Bakım Onarım</t>
  </si>
  <si>
    <t>087-0225</t>
  </si>
  <si>
    <t>Ford Gölcük</t>
  </si>
  <si>
    <t>Kamber Eren Döne</t>
  </si>
  <si>
    <t>Kamera Kontrol Sistemi</t>
  </si>
  <si>
    <t>093-0225</t>
  </si>
  <si>
    <t>ilyas Görgülü</t>
  </si>
  <si>
    <t xml:space="preserve">Toyota </t>
  </si>
  <si>
    <t>Mustafa Dursun</t>
  </si>
  <si>
    <t>Poka Yoke</t>
  </si>
  <si>
    <t>113-0225</t>
  </si>
  <si>
    <t>Kansai Altan</t>
  </si>
  <si>
    <t>Bersan Duran</t>
  </si>
  <si>
    <t>Fabrika Taşıma Kurulum ve Devreye Alma İşleri Teklifi</t>
  </si>
  <si>
    <t>119-0325</t>
  </si>
  <si>
    <t>Toyota</t>
  </si>
  <si>
    <t>osman yurtsever</t>
  </si>
  <si>
    <t>pedal sıkım revizyon</t>
  </si>
  <si>
    <t>120-0225</t>
  </si>
  <si>
    <t>Hitachi</t>
  </si>
  <si>
    <t>Tolga Senlet</t>
  </si>
  <si>
    <t>fabrika taşıması</t>
  </si>
  <si>
    <t>128-0325</t>
  </si>
  <si>
    <t>Personel Desteği Teklifi</t>
  </si>
  <si>
    <t>129-0225</t>
  </si>
  <si>
    <t>Doruk Üstüntepe</t>
  </si>
  <si>
    <t>P-HEX hurda konveyörü yağ besleme iyileştirme projesi</t>
  </si>
  <si>
    <t>130-0225</t>
  </si>
  <si>
    <t>Haydar Yalçın</t>
  </si>
  <si>
    <t xml:space="preserve">Ömür Testi Ankara </t>
  </si>
  <si>
    <t>131-0025</t>
  </si>
  <si>
    <t>Linde Bilecik</t>
  </si>
  <si>
    <t>ilker türkmen, Ersan Bey</t>
  </si>
  <si>
    <t>TAYRAŞ Hidrojen Tesisi Elektrik &amp; Mekanik Montaj Projesi</t>
  </si>
  <si>
    <t>138-1224</t>
  </si>
  <si>
    <t>Cihan Ceylan</t>
  </si>
  <si>
    <t xml:space="preserve">Tavan Karkas Fikstürü </t>
  </si>
  <si>
    <t>139-0025</t>
  </si>
  <si>
    <t>ZF</t>
  </si>
  <si>
    <t>Gökhan Atik</t>
  </si>
  <si>
    <t>Machines transfer project from ZF İzmir to ZF Sakarya</t>
  </si>
  <si>
    <t>140-0024</t>
  </si>
  <si>
    <t xml:space="preserve">Arçelik </t>
  </si>
  <si>
    <t>Mustafa Bey</t>
  </si>
  <si>
    <t>141-0025</t>
  </si>
  <si>
    <t>Nestle</t>
  </si>
  <si>
    <t xml:space="preserve">Bülent Çelebi </t>
  </si>
  <si>
    <t>Portionpack Hatti Revizyonu</t>
  </si>
  <si>
    <t>149-0325</t>
  </si>
  <si>
    <t>BMC Power</t>
  </si>
  <si>
    <t>Hız Azaltan Testi İstanbul</t>
  </si>
  <si>
    <t>150-0325</t>
  </si>
  <si>
    <t>Melilke Yılmaztürk</t>
  </si>
  <si>
    <t>Brülör beyin arızası giderme</t>
  </si>
  <si>
    <t>151-0325</t>
  </si>
  <si>
    <t>Linde</t>
  </si>
  <si>
    <t>Ersan Demirayak</t>
  </si>
  <si>
    <t>tüpraş personel desteği argon ve mekanikçi</t>
  </si>
  <si>
    <t>155-0325</t>
  </si>
  <si>
    <t>Test Kazanı Arızalı Vana Değişimi</t>
  </si>
  <si>
    <t xml:space="preserve">157-0325 </t>
  </si>
  <si>
    <t xml:space="preserve">ZF </t>
  </si>
  <si>
    <t>Personel Bekleme Hakedişi</t>
  </si>
  <si>
    <t>167-0325</t>
  </si>
  <si>
    <t xml:space="preserve">Satın alma </t>
  </si>
  <si>
    <t>Toyota Fender Manless ve P-W Thuru by AMR Suit Şartname, Rev.no.02.pdf</t>
  </si>
  <si>
    <t>182-0325</t>
  </si>
  <si>
    <t>Samet Yılmaz</t>
  </si>
  <si>
    <t>Kam şimi istasyon verilerini SQL Aktarma işi</t>
  </si>
  <si>
    <t>182-0325 2</t>
  </si>
  <si>
    <t>melih tek</t>
  </si>
  <si>
    <t>190-0325</t>
  </si>
  <si>
    <t>BMC</t>
  </si>
  <si>
    <t>Özgür Bey</t>
  </si>
  <si>
    <t>plaka montaj teklifi karot</t>
  </si>
  <si>
    <t>191-0325</t>
  </si>
  <si>
    <t>Seçkin Tohumcu</t>
  </si>
  <si>
    <t xml:space="preserve">Step 3 </t>
  </si>
  <si>
    <t>192-0325</t>
  </si>
  <si>
    <t xml:space="preserve">Melih </t>
  </si>
  <si>
    <t xml:space="preserve">41007764 env. Gmx400 tırdan indirilmesi </t>
  </si>
  <si>
    <t>193-0325</t>
  </si>
  <si>
    <t xml:space="preserve">41007799 env. Gmx400 tırdan indirilmesi </t>
  </si>
  <si>
    <t>196-0325</t>
  </si>
  <si>
    <t>Erdoğan Çelik</t>
  </si>
  <si>
    <t xml:space="preserve"> Paınt Sealer Damping Hattı Robot Kurulum projesi</t>
  </si>
  <si>
    <t>200-0325</t>
  </si>
  <si>
    <t>Toksan</t>
  </si>
  <si>
    <t>Burak Doğan</t>
  </si>
  <si>
    <t xml:space="preserve">2 adet tek kayar tablalı 600 ve 800 tonluk Simpac pres kurulumu </t>
  </si>
  <si>
    <t>202-0325</t>
  </si>
  <si>
    <t>Test Kazanı Kontrol Ekranı Gün Sayımı Yazılım İşleri</t>
  </si>
  <si>
    <t>203-0325</t>
  </si>
  <si>
    <t xml:space="preserve">irem </t>
  </si>
  <si>
    <t>Çağatay Akmanlar</t>
  </si>
  <si>
    <t>Busbar tedariği</t>
  </si>
  <si>
    <t>204-0325</t>
  </si>
  <si>
    <t>Test Kazanı Şamandıra Değişim İşleri</t>
  </si>
  <si>
    <t>205-0325</t>
  </si>
  <si>
    <t>Yunus Can Koser</t>
  </si>
  <si>
    <t>DMG 25KW hattının konteynerden alana taşınması</t>
  </si>
  <si>
    <t>206-0425</t>
  </si>
  <si>
    <t>Melih</t>
  </si>
  <si>
    <t>ENG-TR2 Validasyon Alanı Taşınması</t>
  </si>
  <si>
    <t>211-0425</t>
  </si>
  <si>
    <t xml:space="preserve">Nakliye / Personel Desteği </t>
  </si>
  <si>
    <t>212-0425</t>
  </si>
  <si>
    <t>Fatih Toroman</t>
  </si>
  <si>
    <t>216-0425</t>
  </si>
  <si>
    <t>Ford Otosan</t>
  </si>
  <si>
    <t>Eda Karamustafa</t>
  </si>
  <si>
    <t xml:space="preserve">Ec şase skidi revizyonu </t>
  </si>
  <si>
    <t>222-0425</t>
  </si>
  <si>
    <t xml:space="preserve">Mustafa Turan </t>
  </si>
  <si>
    <t>26 Makina Bakım ve Temzilik Çalışması</t>
  </si>
  <si>
    <t>229-0425</t>
  </si>
  <si>
    <t>Personel Fiyatı</t>
  </si>
  <si>
    <t>242-0425</t>
  </si>
  <si>
    <t>Onur Şah Yılmaz</t>
  </si>
  <si>
    <t>Transpalet Kiralama</t>
  </si>
  <si>
    <t>251-0425</t>
  </si>
  <si>
    <t>Ercan Kılıç</t>
  </si>
  <si>
    <t>Raf Taşıma İlave İş Statik Raf Revizyonu (15 adam gün)</t>
  </si>
  <si>
    <t>253-0425</t>
  </si>
  <si>
    <t>Melih - Veysel</t>
  </si>
  <si>
    <t>41005564 env famar tırdan indirme ,taşıma ve kurulum desteği</t>
  </si>
  <si>
    <t>254-0425</t>
  </si>
  <si>
    <t>41005793 env famar4 tırdan indirme ,taşıma ve kurulum desteği</t>
  </si>
  <si>
    <t>255-0425</t>
  </si>
  <si>
    <t>Endogaz Retorte Değişim</t>
  </si>
  <si>
    <t>268-0425</t>
  </si>
  <si>
    <t>Melih Çakıcı</t>
  </si>
  <si>
    <t>Ek Taşıma Arabası</t>
  </si>
  <si>
    <t>270-0425</t>
  </si>
  <si>
    <t>Hız azaltan ilave işler</t>
  </si>
  <si>
    <t>275-0425</t>
  </si>
  <si>
    <t xml:space="preserve">Melih Çakıcı </t>
  </si>
  <si>
    <t xml:space="preserve">16 adet panel taşıma arabası teklifi </t>
  </si>
  <si>
    <t>276-0425</t>
  </si>
  <si>
    <t>Özge</t>
  </si>
  <si>
    <t>Test KAZANI ARIZALI VANA ve TRANSMITTER DEĞİŞİMİ</t>
  </si>
  <si>
    <t>278-0425</t>
  </si>
  <si>
    <t>12130055 LPW yıkama montaj demontaj</t>
  </si>
  <si>
    <t>284-0525</t>
  </si>
  <si>
    <t xml:space="preserve">TPP ve PB Makine Taşımaları </t>
  </si>
  <si>
    <t>287-0525</t>
  </si>
  <si>
    <t>İsuzu</t>
  </si>
  <si>
    <t>Beyza Alhan</t>
  </si>
  <si>
    <t>Midibüs Hattı Revizyonları</t>
  </si>
  <si>
    <t>299-0525</t>
  </si>
  <si>
    <t>melih</t>
  </si>
  <si>
    <t>Ersan Mançuhan</t>
  </si>
  <si>
    <t>Rh3 fırını ring değişimi</t>
  </si>
  <si>
    <t>300-0525</t>
  </si>
  <si>
    <t>Kel2 fırın</t>
  </si>
  <si>
    <t>309-0525</t>
  </si>
  <si>
    <t>özge</t>
  </si>
  <si>
    <t>SCHOLP</t>
  </si>
  <si>
    <t>Otman Gharbi</t>
  </si>
  <si>
    <t>Professional mechanical technicians, professional electricians and helpers</t>
  </si>
  <si>
    <t>319-0525</t>
  </si>
  <si>
    <t>Alparslan Bağdatlı</t>
  </si>
  <si>
    <t>Kablo Teklifi</t>
  </si>
  <si>
    <t>336-0525</t>
  </si>
  <si>
    <t>envanter indeva vinç taşınması</t>
  </si>
  <si>
    <t>339-0525</t>
  </si>
  <si>
    <t>GMX400 Taşıma ve kurulum (Env No:1119507)</t>
  </si>
  <si>
    <t>340-0525</t>
  </si>
  <si>
    <t>GMX400 Taşıma ve kurulum (Env No: 1120030)</t>
  </si>
  <si>
    <t>343-0525</t>
  </si>
  <si>
    <t>Twin 500 Env No 4700017 taşıma işi</t>
  </si>
  <si>
    <t>346-0625</t>
  </si>
  <si>
    <t>Nakliye Teklifi</t>
  </si>
  <si>
    <t>350-0625</t>
  </si>
  <si>
    <t>1 Mayıs Çalışma Ücreti</t>
  </si>
  <si>
    <t>352-0625</t>
  </si>
  <si>
    <t xml:space="preserve">Malzeme Teklifi </t>
  </si>
  <si>
    <t>357-0625</t>
  </si>
  <si>
    <t>Eda Hazer</t>
  </si>
  <si>
    <t xml:space="preserve">EYGPT001_Poland_Eygpt Relocation </t>
  </si>
  <si>
    <t>361-0625</t>
  </si>
  <si>
    <t>Akpres</t>
  </si>
  <si>
    <t>Emrah Eyüboğlu</t>
  </si>
  <si>
    <t>Teknosab 1200 ton pres kurulumu</t>
  </si>
  <si>
    <t>362-0625</t>
  </si>
  <si>
    <t xml:space="preserve">DAWLANCE001_Poland_ Dawlance Relocation </t>
  </si>
  <si>
    <t>363-0625</t>
  </si>
  <si>
    <t>DEFY001_Poland_ DEFY Relocation</t>
  </si>
  <si>
    <t>364-0625</t>
  </si>
  <si>
    <t>PCI002_Poland_Bolu Plant Relocation</t>
  </si>
  <si>
    <t>367-0625</t>
  </si>
  <si>
    <t>Linde Bilecik Ekipman İndirme Ek iş</t>
  </si>
  <si>
    <t>368-0625</t>
  </si>
  <si>
    <t>Mustafa Turan</t>
  </si>
  <si>
    <t>Ek iş, Temizlik ve Makina Taşıma</t>
  </si>
  <si>
    <t>378-0625</t>
  </si>
  <si>
    <t>Env. No. 1120054 Test Hattının mekanik demontaj ve montajı işi</t>
  </si>
  <si>
    <t>379-0625</t>
  </si>
  <si>
    <t>1119003 env. Twin300 hurdalama</t>
  </si>
  <si>
    <t>384-0625</t>
  </si>
  <si>
    <t>Özen Altıncezve</t>
  </si>
  <si>
    <t xml:space="preserve">Abkant Makinesi İndirme İşlemi </t>
  </si>
  <si>
    <t>386-0625</t>
  </si>
  <si>
    <t>Gökhan Tokur</t>
  </si>
  <si>
    <t xml:space="preserve">Hot Crimping Press Personel Desteği </t>
  </si>
  <si>
    <t>396-0725</t>
  </si>
  <si>
    <t>Ekipman Tedarik Teklifi (vinç ve tır)</t>
  </si>
  <si>
    <t>402-0725</t>
  </si>
  <si>
    <t>Rexroth</t>
  </si>
  <si>
    <t>41007764 env. Gmx400 taşınması ve kurulumu</t>
  </si>
  <si>
    <t>İPTAL</t>
  </si>
  <si>
    <t>413-0725</t>
  </si>
  <si>
    <t>Mahle</t>
  </si>
  <si>
    <t>Hande Kahraman</t>
  </si>
  <si>
    <t>ZCI36 Gen3 Montaj Fikstürü</t>
  </si>
  <si>
    <t>414-0725</t>
  </si>
  <si>
    <t>PR1195682 Polimer-1 1058m² Yapının Çatısına Duman Damperi Montajı İşi</t>
  </si>
  <si>
    <t>OLUMSUZ</t>
  </si>
  <si>
    <t>415-0725</t>
  </si>
  <si>
    <t xml:space="preserve">Danfoss </t>
  </si>
  <si>
    <t>Polimer3-Rampa 5</t>
  </si>
  <si>
    <t>416-0725</t>
  </si>
  <si>
    <t>Kübra Kaliç</t>
  </si>
  <si>
    <t>Adient</t>
  </si>
  <si>
    <t>Hüseyin Aydemir</t>
  </si>
  <si>
    <t>Montaj Hattı Taşınması</t>
  </si>
  <si>
    <t>417-0725</t>
  </si>
  <si>
    <t>Safety fence teklifi</t>
  </si>
  <si>
    <t>418-0725</t>
  </si>
  <si>
    <t>Bosch Atmo</t>
  </si>
  <si>
    <t>Ahmet Can Şen</t>
  </si>
  <si>
    <t>Gera Vinç Taşıma</t>
  </si>
  <si>
    <t>419-0725</t>
  </si>
  <si>
    <t>Festo</t>
  </si>
  <si>
    <t>Alptuğ Kınık</t>
  </si>
  <si>
    <t xml:space="preserve">Fabrika Taşıma İşi </t>
  </si>
  <si>
    <t>420-0725</t>
  </si>
  <si>
    <t>Cihan Çelik</t>
  </si>
  <si>
    <t>Cobot ile kameralı hata önleme teklifi</t>
  </si>
  <si>
    <t>421-0725</t>
  </si>
  <si>
    <t>Tofaş</t>
  </si>
  <si>
    <t>Doğukan Biçer</t>
  </si>
  <si>
    <t>TF2025-KX-17_Bant skidleri RFQ</t>
  </si>
  <si>
    <t>422-0725</t>
  </si>
  <si>
    <t xml:space="preserve">Kobot Taşıma </t>
  </si>
  <si>
    <t>423-0725</t>
  </si>
  <si>
    <t>Ford</t>
  </si>
  <si>
    <t>Parça Boyahane Parça Taşıma Arabaları Ek-raf İmalatı ve Montaj İşi</t>
  </si>
  <si>
    <t>424-0725</t>
  </si>
  <si>
    <t>FENDER SA PROSES TAŞINMASI</t>
  </si>
  <si>
    <t>425-0725</t>
  </si>
  <si>
    <t>çağatay akmanlar</t>
  </si>
  <si>
    <t>Malzeme Tedariği</t>
  </si>
  <si>
    <t>426-0725</t>
  </si>
  <si>
    <t>Robot programlamacı Kiralama</t>
  </si>
  <si>
    <t>427-0725</t>
  </si>
  <si>
    <t xml:space="preserve">Daikin </t>
  </si>
  <si>
    <t xml:space="preserve">Selen Nur </t>
  </si>
  <si>
    <t>Azot İstasyonları Revizyonu</t>
  </si>
  <si>
    <t>TEKLİF VERİLDİ</t>
  </si>
  <si>
    <t>428-0725</t>
  </si>
  <si>
    <t xml:space="preserve">nobel ilaç </t>
  </si>
  <si>
    <t>Veli ülkütoplar</t>
  </si>
  <si>
    <t>Baca işi</t>
  </si>
  <si>
    <t>429-0725</t>
  </si>
  <si>
    <t xml:space="preserve">BMC </t>
  </si>
  <si>
    <t>Ali Öztürk</t>
  </si>
  <si>
    <t>Makinaların Taşınması</t>
  </si>
  <si>
    <t>430-0725</t>
  </si>
  <si>
    <t>Özge Gönül</t>
  </si>
  <si>
    <t>(semih Beyin gittiği)</t>
  </si>
  <si>
    <t>431-0725</t>
  </si>
  <si>
    <t>Yusuf Naçar</t>
  </si>
  <si>
    <t>RFQ168523 - 592969 - macun bölgesi kondens önlemleri</t>
  </si>
  <si>
    <t>432-0725</t>
  </si>
  <si>
    <t>Danfos</t>
  </si>
  <si>
    <t>polimer 3 kalite odası hakkında... (Buhar By-Pass Vana)</t>
  </si>
  <si>
    <t>433-0725</t>
  </si>
  <si>
    <t>Uğur Gündoğdu</t>
  </si>
  <si>
    <t>Kalıp Taşıma</t>
  </si>
  <si>
    <t>440-0725</t>
  </si>
  <si>
    <t>Abdulkadir Duman</t>
  </si>
  <si>
    <t>Ek iş (Şaryo Çelik Uzatma ve Elektrik Bağlantısı)</t>
  </si>
  <si>
    <t>441-0725</t>
  </si>
  <si>
    <t>Cargill</t>
  </si>
  <si>
    <t>Serbay Çekigil</t>
  </si>
  <si>
    <t>Raven Projesi</t>
  </si>
  <si>
    <t>442-0725</t>
  </si>
  <si>
    <t>Achse panolarının tırdan indirilmesi ve montajı</t>
  </si>
  <si>
    <t>136,951.83</t>
  </si>
  <si>
    <t>443-0725</t>
  </si>
  <si>
    <t>1160249 env. Twin300 2.el demontaj işi</t>
  </si>
  <si>
    <t>355,579.46</t>
  </si>
  <si>
    <t>1160249 env. Twin300 hurdalama</t>
  </si>
  <si>
    <t>240,854.44</t>
  </si>
  <si>
    <t>444-0725</t>
  </si>
  <si>
    <t>41007799 env. Gmx400 taşınması ve kurulumu</t>
  </si>
  <si>
    <t>310,226.44</t>
  </si>
  <si>
    <t>445-0725</t>
  </si>
  <si>
    <t>Ahmet İleri</t>
  </si>
  <si>
    <t>41004038 Famar Spindel Demontaj-Montajı</t>
  </si>
  <si>
    <t>59.628,8₺</t>
  </si>
  <si>
    <t>448-0725</t>
  </si>
  <si>
    <t>Support çeliklerinin kumlama ve boyası , zemin plakalarının lazer kesimi ve imalatı</t>
  </si>
  <si>
    <t>449-0725</t>
  </si>
  <si>
    <t>Evyap</t>
  </si>
  <si>
    <t>Özkan Süleymanoğlu</t>
  </si>
  <si>
    <t>459-0725</t>
  </si>
  <si>
    <t>Industrial Moving</t>
  </si>
  <si>
    <t>Alexandra Petkova</t>
  </si>
  <si>
    <t xml:space="preserve">Proposal for personnel support </t>
  </si>
  <si>
    <t>466-0725</t>
  </si>
  <si>
    <t xml:space="preserve">Ekipman Desteği Teklifi </t>
  </si>
  <si>
    <t>476-0825</t>
  </si>
  <si>
    <t>Stefanos Chiotis</t>
  </si>
  <si>
    <t>Proposal for Additional works</t>
  </si>
  <si>
    <t>477-0825</t>
  </si>
  <si>
    <t xml:space="preserve">Ek İş :  Vinç Hizmeti Bedeli </t>
  </si>
  <si>
    <t>481-0825</t>
  </si>
  <si>
    <t>nuray Borinli</t>
  </si>
  <si>
    <t>Mihsubishi</t>
  </si>
  <si>
    <t>Çağatay Doğan</t>
  </si>
  <si>
    <t>Mitsubishi Kalıp Çevirme Makinesi Taşım</t>
  </si>
  <si>
    <t>483-0825</t>
  </si>
  <si>
    <t>Alican Öztürk</t>
  </si>
  <si>
    <t>Fin Pres Açılan Kutuların Palet ve Silika Jellerinin Yenilenmesi</t>
  </si>
  <si>
    <t>488-0825</t>
  </si>
  <si>
    <t xml:space="preserve">Güney Dinç </t>
  </si>
  <si>
    <t xml:space="preserve">3 Tırdan Malzmee İndirme ve Paket Açma </t>
  </si>
  <si>
    <t>496-0825</t>
  </si>
  <si>
    <t>Lİnde</t>
  </si>
  <si>
    <t xml:space="preserve">Support İşleri </t>
  </si>
  <si>
    <t>497-0825</t>
  </si>
  <si>
    <t>Personel ve Forklift Desteği-Güney Bey</t>
  </si>
  <si>
    <t>500-0825</t>
  </si>
  <si>
    <t>Burak Vatansever</t>
  </si>
  <si>
    <t>Tırdan İndirme, Nakliye, Tıra Yükleme</t>
  </si>
  <si>
    <t>501-0825</t>
  </si>
  <si>
    <t>Data ve UPS Kablo Çekimi</t>
  </si>
  <si>
    <t>507-0825</t>
  </si>
  <si>
    <t xml:space="preserve">Dirinler Makinası Pazar Mesai Çalışması </t>
  </si>
  <si>
    <t>508-0825</t>
  </si>
  <si>
    <t>Ford İnönü</t>
  </si>
  <si>
    <t>Anıl Kale</t>
  </si>
  <si>
    <t xml:space="preserve">Kam Şimi Hata Önleme Panosunun Sabitlenmesi </t>
  </si>
  <si>
    <t>510-0825</t>
  </si>
  <si>
    <t>tavalama adam saat fiyatlandırması</t>
  </si>
  <si>
    <t>512-0825</t>
  </si>
  <si>
    <t>Ek İş : İzometri Kot Farkından Dolayı Revizyonlar</t>
  </si>
  <si>
    <t>519-0825</t>
  </si>
  <si>
    <t>Dirinler Tava Uzunluğu 900 cm Genişliği 420 cm ( Derinlik 3 cm )</t>
  </si>
  <si>
    <t>527-0825</t>
  </si>
  <si>
    <t>Ek İş : Kablo Pabuc ve Akım Trafosu</t>
  </si>
  <si>
    <t>531-0825</t>
  </si>
  <si>
    <t xml:space="preserve">Becks&amp;Pollitzer </t>
  </si>
  <si>
    <t>Dawid Siodmok</t>
  </si>
  <si>
    <t>El aletleri ve ekipman kiralama işi</t>
  </si>
  <si>
    <t>532-0925</t>
  </si>
  <si>
    <t>Ek İş : Saha Revizyonları Teklifi</t>
  </si>
  <si>
    <t>534-0925</t>
  </si>
  <si>
    <t>Tuğra Keçecioğlu</t>
  </si>
  <si>
    <t xml:space="preserve">Personel Desteği 1 Saat İlave </t>
  </si>
  <si>
    <t>542-0925</t>
  </si>
  <si>
    <t>Türk Traktör</t>
  </si>
  <si>
    <t>Ayşe Çiçek Özdervişoğlu</t>
  </si>
  <si>
    <t>Rulo Test Odasının Demontaj ve Paketleme İşi</t>
  </si>
  <si>
    <t>548-0925</t>
  </si>
  <si>
    <t xml:space="preserve">Bilecik Ek İş : Revizyon İşleri </t>
  </si>
  <si>
    <t>549-0925</t>
  </si>
  <si>
    <t>Fens Demontajı ve Transferi</t>
  </si>
  <si>
    <t>555-0925</t>
  </si>
  <si>
    <t>ersan demirayak</t>
  </si>
  <si>
    <t xml:space="preserve">Buffer Tankı Boya İşleri </t>
  </si>
  <si>
    <t>565-0925</t>
  </si>
  <si>
    <t>Ek İş : Kablo Temini</t>
  </si>
  <si>
    <t>578-0925</t>
  </si>
  <si>
    <t xml:space="preserve">Ek İş Revizyon İşleri </t>
  </si>
  <si>
    <t>583-0925</t>
  </si>
  <si>
    <t>Ek İş Kablo Temini</t>
  </si>
  <si>
    <t>593-0925</t>
  </si>
  <si>
    <t>Tayraş : Trafo Aydınlatması</t>
  </si>
  <si>
    <t>594-0925</t>
  </si>
  <si>
    <t>1” boru izolasyonu (30 mm taşyünü üzeri 0,60 mm alüminyum kaplama, manlift, personel giderleri ve işçilik dahil) fiyatı</t>
  </si>
  <si>
    <t>595-0925</t>
  </si>
  <si>
    <t xml:space="preserve">Ek İş : Revizyon İşleri </t>
  </si>
  <si>
    <t>597-0925</t>
  </si>
  <si>
    <t xml:space="preserve">Tayraş : Saha Aydınlatması </t>
  </si>
  <si>
    <t>601-1025</t>
  </si>
  <si>
    <t xml:space="preserve">Ersan Demirayak </t>
  </si>
  <si>
    <t>603-1025</t>
  </si>
  <si>
    <t xml:space="preserve">Süleyman Özaydın  </t>
  </si>
  <si>
    <t xml:space="preserve">Mısır’a Nakliye, Paketleme, Yükleme ve İndirme İşi </t>
  </si>
  <si>
    <t>604-1025</t>
  </si>
  <si>
    <t>Tarık Tezel</t>
  </si>
  <si>
    <t xml:space="preserve">Komili Islak Mendil Hattının Tuzla Fabrika'ya Taşınması </t>
  </si>
  <si>
    <t>606-1025</t>
  </si>
  <si>
    <t xml:space="preserve">PLC Modül Tedariği Fiyat Teklifi </t>
  </si>
  <si>
    <t>607-1025</t>
  </si>
  <si>
    <t>Selim Harbi</t>
  </si>
  <si>
    <t>Mirsolar</t>
  </si>
  <si>
    <t>Furkan Çubuk</t>
  </si>
  <si>
    <t>Mitsubishi PLC CPU Pil Değişimi</t>
  </si>
  <si>
    <t>611-1025</t>
  </si>
  <si>
    <t>Yakup Toy</t>
  </si>
  <si>
    <t>4001 Bardak Hattı Demontaj İşleri</t>
  </si>
  <si>
    <t>613-1025</t>
  </si>
  <si>
    <t xml:space="preserve">Stolle </t>
  </si>
  <si>
    <t xml:space="preserve">Nigel </t>
  </si>
  <si>
    <t>Lion Fabrika Kurulumu</t>
  </si>
  <si>
    <t>£</t>
  </si>
  <si>
    <t>2024 VE ÖNCESİ</t>
  </si>
  <si>
    <t>Alındı</t>
  </si>
  <si>
    <t>BSH</t>
  </si>
  <si>
    <t>Sherif Azzam</t>
  </si>
  <si>
    <t>Kalıp Taşıma İşi</t>
  </si>
  <si>
    <t>-</t>
  </si>
  <si>
    <t>Dinçer Mutlu</t>
  </si>
  <si>
    <t xml:space="preserve">Boyahane Modernizasyon </t>
  </si>
  <si>
    <t>A6 Carascal Yer Değişimi</t>
  </si>
  <si>
    <t xml:space="preserve">A10 Fırın İşi </t>
  </si>
  <si>
    <t>A2 Fırın ve Robot İşi</t>
  </si>
  <si>
    <t>Ender Kayahan</t>
  </si>
  <si>
    <t>K0 Arka Süspansiyon Hattı Kurulum Projesi</t>
  </si>
  <si>
    <t>Serhan Avcı</t>
  </si>
  <si>
    <t>DMG 80H Makine Taşıma İşi</t>
  </si>
  <si>
    <t>Mitsubishi Manisa Taşıma İşi</t>
  </si>
  <si>
    <t>ABB</t>
  </si>
  <si>
    <t>Özlem Korkmaz</t>
  </si>
  <si>
    <t>Fens İmalatı</t>
  </si>
  <si>
    <t>K0 projesi front rear underbody hattı otomasyon işleri</t>
  </si>
  <si>
    <t>Orhan Uysal</t>
  </si>
  <si>
    <t>Tij İmalatı</t>
  </si>
  <si>
    <t>Amcor</t>
  </si>
  <si>
    <t>Savaş Çetin</t>
  </si>
  <si>
    <t xml:space="preserve">Personel Desteği </t>
  </si>
  <si>
    <t>K0 Süspansiyon Ön Teker Hazırlama Hattı</t>
  </si>
  <si>
    <t>Otokar</t>
  </si>
  <si>
    <t>Metin Horoz</t>
  </si>
  <si>
    <t>Fikstür Taşıma İşi</t>
  </si>
  <si>
    <t>Demag Caraskal Yer Değişimi</t>
  </si>
  <si>
    <t>Bosch ATMO</t>
  </si>
  <si>
    <t>Alican Bektaş</t>
  </si>
  <si>
    <t>Matec Destek İşi</t>
  </si>
  <si>
    <t>Nuray</t>
  </si>
  <si>
    <t>Daikin</t>
  </si>
  <si>
    <t>Durca Yağlı</t>
  </si>
  <si>
    <t>Tekerlek Tamiri</t>
  </si>
  <si>
    <t>Eda Ekdik</t>
  </si>
  <si>
    <t>Palet İmalatı Fiyat Teklifi</t>
  </si>
  <si>
    <t>Recep Kahya</t>
  </si>
  <si>
    <t>Ec Skidleri Forklift Ayağı Yapımı</t>
  </si>
  <si>
    <t>Ufuk Hacıoğlu</t>
  </si>
  <si>
    <t>Almanya Makine Taşıma İşi(DMG 80 H)</t>
  </si>
  <si>
    <t>PMI</t>
  </si>
  <si>
    <t>Gizem Özer</t>
  </si>
  <si>
    <t/>
  </si>
  <si>
    <t xml:space="preserve">K0 Fens İmalatı </t>
  </si>
  <si>
    <t>Raf Montajı</t>
  </si>
  <si>
    <t>Abb</t>
  </si>
  <si>
    <t>Erdem Karaçeper</t>
  </si>
  <si>
    <t>PAW/PW üniteleri tesisat malzemeleri</t>
  </si>
  <si>
    <t xml:space="preserve">Bosch Atmo </t>
  </si>
  <si>
    <t>Yaşar Kesercioğlu</t>
  </si>
  <si>
    <t>Personel Desteği İlave İş</t>
  </si>
  <si>
    <t>Vil Kauçuk</t>
  </si>
  <si>
    <t>Erhan Uymaz</t>
  </si>
  <si>
    <t xml:space="preserve"> Fiyat Teklifi</t>
  </si>
  <si>
    <t>Selçuk Mısırlıoğlu</t>
  </si>
  <si>
    <t xml:space="preserve">Ekipman Yer Değişimi </t>
  </si>
  <si>
    <t>Beyçelik</t>
  </si>
  <si>
    <t>Ulaş Büyükmil</t>
  </si>
  <si>
    <t>Makine Demontaj ve Paketleme İşleri</t>
  </si>
  <si>
    <t>Fikstür Gripper Demontaj İşi</t>
  </si>
  <si>
    <t>Mehmet Taha Şimşek</t>
  </si>
  <si>
    <t xml:space="preserve">Taşıma Arabası </t>
  </si>
  <si>
    <t>Genmar</t>
  </si>
  <si>
    <t>Cüneyt Özyurt</t>
  </si>
  <si>
    <t>Pergel Vinç Kurulumu</t>
  </si>
  <si>
    <t>Kerim Ürkmez</t>
  </si>
  <si>
    <t>Almanya DMG 80 H Taşıma Projesi İlaveler</t>
  </si>
  <si>
    <t>Hazal</t>
  </si>
  <si>
    <t>Vestel</t>
  </si>
  <si>
    <t>Umut Balkan</t>
  </si>
  <si>
    <t>Yan Panel Taşıma İşi</t>
  </si>
  <si>
    <t xml:space="preserve">IVA </t>
  </si>
  <si>
    <t>Richard Wethmar</t>
  </si>
  <si>
    <t>2400513</t>
  </si>
  <si>
    <t>Nuri Ertekin</t>
  </si>
  <si>
    <t>Arka Süspansiyon İlave İşler</t>
  </si>
  <si>
    <t>Ec skidi stoklama ara aparatı imalatı</t>
  </si>
  <si>
    <t xml:space="preserve">Abb </t>
  </si>
  <si>
    <t>Leu Hu</t>
  </si>
  <si>
    <t>Üst Yapı Revizyon</t>
  </si>
  <si>
    <t xml:space="preserve">6 Platform İmalatı </t>
  </si>
  <si>
    <t>Şeyma Sayar</t>
  </si>
  <si>
    <t>9B20 FİKSTÜRÜ PARÇA YÜKLEME - BOŞALTMA İÇİN PERGEL VİNÇ ve GRIPPER TEKLİFİ</t>
  </si>
  <si>
    <t>Okan Yılmaz</t>
  </si>
  <si>
    <t>KUMLAMA TEZGANI ALANI ÜST YAPI ÇALIŞMASI ve 1000kg VİNÇ KURULUM TEKLİFİ</t>
  </si>
  <si>
    <t>4 TAKIM 250kg CARASKAL VİNÇ KURULUM TEKLİFİ</t>
  </si>
  <si>
    <t>Tayfun Gargacı</t>
  </si>
  <si>
    <t>DÖNER FİKSTÜRÜN PİSTON SİSTEMİ İLE SABİTLEME OTOMASYONU TEKLİFİ</t>
  </si>
  <si>
    <t>İlave İşler</t>
  </si>
  <si>
    <t>Ezgi Özak</t>
  </si>
  <si>
    <t>GÖVDE KAYNAK ARKA KAPI GRİPPER</t>
  </si>
  <si>
    <t>Ahmetcan Şen</t>
  </si>
  <si>
    <t xml:space="preserve">PLT Mekanik </t>
  </si>
  <si>
    <t>Cemal Polat</t>
  </si>
  <si>
    <t>Forklift Desteği</t>
  </si>
  <si>
    <t>Tavan Sealer Lift Revizyon İşi</t>
  </si>
  <si>
    <t xml:space="preserve">2D çizim </t>
  </si>
  <si>
    <t>Malzeme Temini</t>
  </si>
  <si>
    <t>Erdem karaçeper</t>
  </si>
  <si>
    <t>Hüseyin Yamak</t>
  </si>
  <si>
    <t>Raf İmalatı</t>
  </si>
  <si>
    <t>Yusuf Yalçın</t>
  </si>
  <si>
    <t xml:space="preserve">İnterlock Ayrıştırma </t>
  </si>
  <si>
    <t xml:space="preserve">Malzeme Temini(SCA Macun Ara Bağlantı Malzemesi) </t>
  </si>
  <si>
    <t>Ak Pres</t>
  </si>
  <si>
    <t>Emrah Eyüpoğlu</t>
  </si>
  <si>
    <t>Pres Montaj İşleri</t>
  </si>
  <si>
    <t>Robot Kart Değişimi</t>
  </si>
  <si>
    <t>Şeyma Soyer</t>
  </si>
  <si>
    <t xml:space="preserve">UB OP 80 Platform İmalatı </t>
  </si>
  <si>
    <t>Belirsiz</t>
  </si>
  <si>
    <t>Faz 3 Taşıma İşi</t>
  </si>
  <si>
    <t>Betül Önder</t>
  </si>
  <si>
    <t>Evap Alanı Taşıma İşi</t>
  </si>
  <si>
    <t>5NB Craw Cab Mekanik İşler Teklifi</t>
  </si>
  <si>
    <t>Montaj Birimi Bakımcı Platformu Yapılması ve Montajı</t>
  </si>
  <si>
    <t>Davlumbaz İmalatı</t>
  </si>
  <si>
    <t xml:space="preserve">A10 Silindir Fırçalama İndirme ve kurulum işi </t>
  </si>
  <si>
    <t xml:space="preserve">Exhausting Equipment for MIG </t>
  </si>
  <si>
    <t>Arçelik</t>
  </si>
  <si>
    <t>Çayırova Press Taşıma İşi</t>
  </si>
  <si>
    <t>Akpress</t>
  </si>
  <si>
    <t>Büşra Tarakçıoğlu</t>
  </si>
  <si>
    <t xml:space="preserve">Pres Kurulum Projesi </t>
  </si>
  <si>
    <t>Bülent Çelebi</t>
  </si>
  <si>
    <t>Paketleme Hattı Taşıma İşi</t>
  </si>
  <si>
    <t>Beklemede</t>
  </si>
  <si>
    <t>Boyahane Tasarım İşi</t>
  </si>
  <si>
    <t xml:space="preserve">ABSCPLATTE Vinç Demontaj Montaj </t>
  </si>
  <si>
    <t>Sinan Ceylan</t>
  </si>
  <si>
    <t>İva</t>
  </si>
  <si>
    <t>Oktay Başkan</t>
  </si>
  <si>
    <t>Fırın Destek İşi</t>
  </si>
  <si>
    <t>Almanya İlave İşi</t>
  </si>
  <si>
    <t>400083 Çalışma Masası Hurdalama</t>
  </si>
  <si>
    <t>Cüneyt Artam</t>
  </si>
  <si>
    <t>Fikstür Montaj İşi</t>
  </si>
  <si>
    <t>İlyas Görgülü</t>
  </si>
  <si>
    <t>Gazi Kesik</t>
  </si>
  <si>
    <t>Roller İmalatı</t>
  </si>
  <si>
    <t>Davlumbaz Ekstra İşçilik</t>
  </si>
  <si>
    <t xml:space="preserve">Linde Aksaray </t>
  </si>
  <si>
    <t>Alper Karaman</t>
  </si>
  <si>
    <t>Demontaj Montaj İşleri</t>
  </si>
  <si>
    <t xml:space="preserve">41007149 Env. Nolu Masa Taşıma İşi </t>
  </si>
  <si>
    <t>Famar Makinesi Taşıma İşi</t>
  </si>
  <si>
    <t xml:space="preserve">Aydın Can Özel </t>
  </si>
  <si>
    <t xml:space="preserve">1320130 Envanter Nolu A6 Fırın Demontaj Montaj İşi </t>
  </si>
  <si>
    <t>Taşıma Konveyörü Demotaj Montaj İşlemi</t>
  </si>
  <si>
    <t xml:space="preserve">GMX400 </t>
  </si>
  <si>
    <t>Fatih Seymen</t>
  </si>
  <si>
    <t>Lepleme Makinesi Taşıma İşi</t>
  </si>
  <si>
    <t>Talat Felamur</t>
  </si>
  <si>
    <t>A6 Silindir Metu Yıkama Makinesi</t>
  </si>
  <si>
    <t>Yutani Destek</t>
  </si>
  <si>
    <t xml:space="preserve">Fethullah Sayar </t>
  </si>
  <si>
    <t>Ezel Sarı</t>
  </si>
  <si>
    <t>ASRS Kurulum</t>
  </si>
  <si>
    <t>Famar Makinesi Taşıma İşi 44005515</t>
  </si>
  <si>
    <t>Tortilla Hattı Taşıma İşi</t>
  </si>
  <si>
    <t>Taş Taban Fırın Taşıma İşi</t>
  </si>
  <si>
    <t>BELGİN LUBRIVISIONBOX İÇ TAŞIMA (Env No ENV BLGN- 0019)</t>
  </si>
  <si>
    <t>614-1025</t>
  </si>
  <si>
    <t>Melih Zehteren</t>
  </si>
  <si>
    <t>1112507 env. pergel vinç</t>
  </si>
  <si>
    <t>61,206.87</t>
  </si>
  <si>
    <t>615-1025</t>
  </si>
  <si>
    <t>1300676 env. pergel vinç</t>
  </si>
  <si>
    <t>616-1025</t>
  </si>
  <si>
    <t>41000666 env. indeva vinç</t>
  </si>
  <si>
    <t>617-1025</t>
  </si>
  <si>
    <t>3400138 env. Metu yıkama makinası</t>
  </si>
  <si>
    <t>122,413.74</t>
  </si>
  <si>
    <t>618-1025</t>
  </si>
  <si>
    <t xml:space="preserve">1111033 env. DMG60H makinası
</t>
  </si>
  <si>
    <t>306,034.35</t>
  </si>
  <si>
    <t>619-1025</t>
  </si>
  <si>
    <t xml:space="preserve">Evyap </t>
  </si>
  <si>
    <t>İbrahim Aydemir</t>
  </si>
  <si>
    <t>621-1025</t>
  </si>
  <si>
    <t>Kontaktör Temini Fiyat Teklifi</t>
  </si>
  <si>
    <t>630-1025</t>
  </si>
  <si>
    <t xml:space="preserve">Ek İş : Aydınlatma Malzemesi Tedariği </t>
  </si>
  <si>
    <t>637-1025</t>
  </si>
  <si>
    <t>Nazan Şahin</t>
  </si>
  <si>
    <t>Nagel 4018 CNC Tezgahı Taşıma</t>
  </si>
  <si>
    <t>638-1025</t>
  </si>
  <si>
    <t xml:space="preserve">Ek İş : Aydınlatma Malzemesi Tedariği 2 </t>
  </si>
  <si>
    <t>639-1025</t>
  </si>
  <si>
    <t>Ek İş Boru Revizyon İşçilik Fiyat Teklifi</t>
  </si>
  <si>
    <t>640-1025</t>
  </si>
  <si>
    <t>644-1025</t>
  </si>
  <si>
    <t>Demirdöküm</t>
  </si>
  <si>
    <t>Gökhan Gün</t>
  </si>
  <si>
    <t xml:space="preserve">Taşıma Arabası İmalatı </t>
  </si>
  <si>
    <t>653-1024</t>
  </si>
  <si>
    <t xml:space="preserve">Ek İş : Heat Traacing İşlemi </t>
  </si>
  <si>
    <t>662-1025</t>
  </si>
  <si>
    <t>Aylin Banu Kalaycı</t>
  </si>
  <si>
    <t>Kameralı Poka Yoke</t>
  </si>
  <si>
    <t>668-1125</t>
  </si>
  <si>
    <t>Burak Muğanlo</t>
  </si>
  <si>
    <t xml:space="preserve">120K Batarya Paketi Montaj Hattı CVM Yükseltmesi </t>
  </si>
  <si>
    <t>670-1125</t>
  </si>
  <si>
    <t>ford Otosan İnönü</t>
  </si>
  <si>
    <t>Polat Özgür</t>
  </si>
  <si>
    <t>Kaynak İşleri</t>
  </si>
  <si>
    <t>673-1125</t>
  </si>
  <si>
    <t>Şanzıman Alt Grup Alanı Pick to Light</t>
  </si>
  <si>
    <t>684-1125</t>
  </si>
  <si>
    <t>Nigel Davidson</t>
  </si>
  <si>
    <t>Personel ve Forklift Desteği</t>
  </si>
  <si>
    <t>685-1125</t>
  </si>
  <si>
    <t>Balıkesır Azot sıvılaştırıcı tesısı Elektrik, Mekanik ve İnşaat İşleri</t>
  </si>
  <si>
    <t>700-1125</t>
  </si>
  <si>
    <t xml:space="preserve">Gökhan Atik </t>
  </si>
  <si>
    <t>Personel Teklifi</t>
  </si>
  <si>
    <t>702-1125</t>
  </si>
  <si>
    <t xml:space="preserve">Ek İş : 1/2 inç Boru İzolasyonu İşleri </t>
  </si>
  <si>
    <t>722-1125</t>
  </si>
  <si>
    <t>Gebze Makina Taşıma İşi</t>
  </si>
  <si>
    <t>728-1225</t>
  </si>
  <si>
    <t>Airliquide</t>
  </si>
  <si>
    <t>Fatih Tezel</t>
  </si>
  <si>
    <t xml:space="preserve">2 gün Kriko ve Personel Desteği </t>
  </si>
  <si>
    <t>729-1225</t>
  </si>
  <si>
    <t>Kaan Yiğit</t>
  </si>
  <si>
    <t>Z Lift ve Manipulatör Demontaj</t>
  </si>
  <si>
    <t>732-1225</t>
  </si>
  <si>
    <t>Personel Desteği İşi</t>
  </si>
  <si>
    <t>722-1125-1</t>
  </si>
  <si>
    <t>Nazan ŞAhin</t>
  </si>
  <si>
    <t>ek İş : Layout Reverse</t>
  </si>
  <si>
    <t>666-1125</t>
  </si>
  <si>
    <t>Siro Energy</t>
  </si>
  <si>
    <t>Sinem Göz</t>
  </si>
  <si>
    <t xml:space="preserve">ASRS Taşıma </t>
  </si>
  <si>
    <t>769-1225</t>
  </si>
  <si>
    <t xml:space="preserve">Selim Harbi </t>
  </si>
  <si>
    <t>CSM Machinery</t>
  </si>
  <si>
    <t>Nicolo Visentin</t>
  </si>
  <si>
    <t xml:space="preserve">Endüstriyel Ekipman Montajı </t>
  </si>
  <si>
    <t>106-26-0011</t>
  </si>
  <si>
    <t>Melih Zenteren</t>
  </si>
  <si>
    <t>4700018 Twin300 Hurdalama işi</t>
  </si>
  <si>
    <t>TL</t>
  </si>
  <si>
    <t>321,327.65</t>
  </si>
  <si>
    <t>150-26-0012</t>
  </si>
  <si>
    <t>Egemen Elkaya</t>
  </si>
  <si>
    <t>Hitachi Energy</t>
  </si>
  <si>
    <t>Cansu Yılmaz</t>
  </si>
  <si>
    <t>Kartal Tamir Fabrikası Fiyat Teklifi</t>
  </si>
  <si>
    <t>158-26-0023</t>
  </si>
  <si>
    <t>Ceysun Cansu</t>
  </si>
  <si>
    <t>Demir Döküm</t>
  </si>
  <si>
    <t>6 Adet Taşıma Arabası</t>
  </si>
  <si>
    <t>125-26-0027</t>
  </si>
  <si>
    <t>Ce eksikliklerinin Giderilmesi</t>
  </si>
  <si>
    <t>106-26-0030</t>
  </si>
  <si>
    <t>Eray Özbek</t>
  </si>
  <si>
    <t>41003329 - Turkyus Prolift Layout Değişikliği İşi Teklifi Hk.</t>
  </si>
  <si>
    <t>115-26-0034</t>
  </si>
  <si>
    <t>Özge Can</t>
  </si>
  <si>
    <t>120K Batarya Montaj Hattı sızdırmazlık test ekipmanlarına AWD-CVM programı için Mekanik Revizyon</t>
  </si>
  <si>
    <t>160-26-0036</t>
  </si>
  <si>
    <t>Fethullah Sayar</t>
  </si>
  <si>
    <t>Ege Kimya</t>
  </si>
  <si>
    <t xml:space="preserve">Mustafa Eti </t>
  </si>
  <si>
    <t>Personel Desteği adam/gün</t>
  </si>
  <si>
    <t>121-26-0039</t>
  </si>
  <si>
    <t xml:space="preserve">Ahmet Uçar </t>
  </si>
  <si>
    <t>Mitsubishi</t>
  </si>
  <si>
    <t xml:space="preserve">Elif Tamir </t>
  </si>
  <si>
    <t>Isı Pompası Hatları Relokasyonu</t>
  </si>
  <si>
    <t>112-26-0045</t>
  </si>
  <si>
    <t>Muhammed Kurdaş</t>
  </si>
  <si>
    <t>Cep Mendil Hattının Demontaj-Nakliye-Montaj Projesi</t>
  </si>
  <si>
    <t>165-26-0047</t>
  </si>
  <si>
    <t>Siro</t>
  </si>
  <si>
    <t xml:space="preserve">ASRS Demontaj </t>
  </si>
  <si>
    <t>125-26-0063</t>
  </si>
  <si>
    <t>Sac Dolap İmalatı</t>
  </si>
  <si>
    <t>121-26-0070</t>
  </si>
  <si>
    <t>ATW Indoor Alt Montaj Hattı Transfer Projesi</t>
  </si>
  <si>
    <t>133-26-0078</t>
  </si>
  <si>
    <t>Ahmet Orkun Öviç</t>
  </si>
  <si>
    <t xml:space="preserve">Pres Taşıma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</si>
</sst>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.mm.yyyy"/>
    <numFmt numFmtId="179" formatCode="#,##0.0"/>
    <numFmt numFmtId="180" formatCode="dd.mm.yy"/>
    <numFmt numFmtId="181" formatCode="0.0"/>
    <numFmt numFmtId="182" formatCode="&quot;₺&quot;#,##0"/>
    <numFmt numFmtId="183" formatCode="#,##0.00\ [$€-1];[Red]\-#,##0.00\ [$€-1]"/>
    <numFmt numFmtId="184" formatCode="_-[$€-2]\ * #,##0.00_-;\-[$€-2]\ * #,##0.00_-;_-[$€-2]\ * &quot;-&quot;??_-;_-@"/>
    <numFmt numFmtId="185" formatCode="#,##0.00\ [$€-1];\-#,##0.00\ [$€-1]"/>
    <numFmt numFmtId="186" formatCode="[$€-2]\ #,##0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rgb="FF222222"/>
      <name val="Calibri"/>
      <charset val="134"/>
    </font>
    <font>
      <sz val="11"/>
      <color rgb="FF000000"/>
      <name val="Calibri"/>
      <charset val="134"/>
    </font>
    <font>
      <sz val="11"/>
      <color rgb="FF1F1F1F"/>
      <name val="Calibri"/>
      <charset val="134"/>
    </font>
    <font>
      <sz val="11"/>
      <color rgb="FF424242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62"/>
    </font>
    <font>
      <sz val="11"/>
      <color theme="1"/>
      <name val="Calibri"/>
      <charset val="134"/>
    </font>
    <font>
      <sz val="11"/>
      <color rgb="FF040C28"/>
      <name val="Calibri"/>
      <charset val="134"/>
    </font>
    <font>
      <sz val="9"/>
      <color theme="1"/>
      <name val="Calibri"/>
      <charset val="134"/>
    </font>
    <font>
      <sz val="11"/>
      <name val="Calibri"/>
      <charset val="134"/>
      <scheme val="minor"/>
    </font>
    <font>
      <sz val="9"/>
      <color rgb="FF222222"/>
      <name val="Calibri"/>
      <charset val="134"/>
    </font>
    <font>
      <sz val="9"/>
      <color rgb="FF000000"/>
      <name val="Calibri"/>
      <charset val="134"/>
    </font>
    <font>
      <sz val="9"/>
      <color rgb="FF1F1F1F"/>
      <name val="Calibri"/>
      <charset val="134"/>
    </font>
    <font>
      <sz val="9"/>
      <color rgb="FF424242"/>
      <name val="Calibri"/>
      <charset val="134"/>
    </font>
    <font>
      <u/>
      <sz val="9"/>
      <color theme="1"/>
      <name val="Calibri"/>
      <charset val="134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4" tint="-0.499984740745262"/>
      <name val="Calibri"/>
      <charset val="162"/>
    </font>
    <font>
      <sz val="11"/>
      <color rgb="FF474747"/>
      <name val="Arial"/>
      <charset val="134"/>
    </font>
    <font>
      <sz val="15"/>
      <color rgb="FF040C28"/>
      <name val="&quot;Google Sans&quot;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6" applyNumberFormat="0" applyAlignment="0" applyProtection="0">
      <alignment vertical="center"/>
    </xf>
    <xf numFmtId="0" fontId="33" fillId="10" borderId="17" applyNumberFormat="0" applyAlignment="0" applyProtection="0">
      <alignment vertical="center"/>
    </xf>
    <xf numFmtId="0" fontId="34" fillId="10" borderId="16" applyNumberFormat="0" applyAlignment="0" applyProtection="0">
      <alignment vertical="center"/>
    </xf>
    <xf numFmtId="0" fontId="35" fillId="11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17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78" fontId="1" fillId="0" borderId="4" xfId="0" applyNumberFormat="1" applyFont="1" applyBorder="1" applyAlignment="1">
      <alignment horizontal="center" vertical="center"/>
    </xf>
    <xf numFmtId="178" fontId="1" fillId="2" borderId="4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" fillId="2" borderId="4" xfId="0" applyFont="1" applyFill="1" applyBorder="1" applyAlignment="1"/>
    <xf numFmtId="0" fontId="5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178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4" fontId="1" fillId="2" borderId="4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8" fontId="5" fillId="2" borderId="4" xfId="0" applyNumberFormat="1" applyFont="1" applyFill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" fillId="2" borderId="5" xfId="0" applyFont="1" applyFill="1" applyBorder="1" applyAlignment="1">
      <alignment vertical="center"/>
    </xf>
    <xf numFmtId="0" fontId="1" fillId="0" borderId="4" xfId="0" applyFont="1" applyBorder="1" applyAlignment="1"/>
    <xf numFmtId="178" fontId="1" fillId="0" borderId="4" xfId="0" applyNumberFormat="1" applyFont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/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/>
    <xf numFmtId="0" fontId="4" fillId="3" borderId="4" xfId="0" applyFont="1" applyFill="1" applyBorder="1" applyAlignment="1"/>
    <xf numFmtId="178" fontId="1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/>
    <xf numFmtId="0" fontId="1" fillId="3" borderId="4" xfId="0" applyFont="1" applyFill="1" applyBorder="1" applyAlignment="1">
      <alignment horizontal="center"/>
    </xf>
    <xf numFmtId="0" fontId="7" fillId="4" borderId="4" xfId="0" applyFont="1" applyFill="1" applyBorder="1" applyAlignment="1"/>
    <xf numFmtId="0" fontId="8" fillId="0" borderId="4" xfId="0" applyFont="1" applyBorder="1" applyAlignment="1"/>
    <xf numFmtId="0" fontId="5" fillId="3" borderId="4" xfId="0" applyFont="1" applyFill="1" applyBorder="1" applyAlignment="1">
      <alignment horizontal="left"/>
    </xf>
    <xf numFmtId="179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/>
    </xf>
    <xf numFmtId="58" fontId="1" fillId="0" borderId="4" xfId="0" applyNumberFormat="1" applyFont="1" applyBorder="1" applyAlignment="1">
      <alignment horizontal="center"/>
    </xf>
    <xf numFmtId="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/>
    <xf numFmtId="4" fontId="1" fillId="3" borderId="4" xfId="0" applyNumberFormat="1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3" borderId="7" xfId="0" applyFont="1" applyFill="1" applyBorder="1"/>
    <xf numFmtId="0" fontId="1" fillId="3" borderId="0" xfId="0" applyFont="1" applyFill="1"/>
    <xf numFmtId="0" fontId="6" fillId="3" borderId="4" xfId="0" applyFont="1" applyFill="1" applyBorder="1" applyAlignment="1">
      <alignment horizontal="left" vertical="top"/>
    </xf>
    <xf numFmtId="178" fontId="1" fillId="0" borderId="0" xfId="0" applyNumberFormat="1" applyFont="1" applyAlignment="1">
      <alignment horizontal="center"/>
    </xf>
    <xf numFmtId="0" fontId="6" fillId="3" borderId="0" xfId="0" applyFont="1" applyFill="1" applyAlignment="1"/>
    <xf numFmtId="0" fontId="4" fillId="3" borderId="0" xfId="0" applyFont="1" applyFill="1" applyAlignment="1"/>
    <xf numFmtId="180" fontId="1" fillId="0" borderId="0" xfId="0" applyNumberFormat="1" applyFont="1" applyAlignment="1">
      <alignment horizontal="center"/>
    </xf>
    <xf numFmtId="0" fontId="9" fillId="5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/>
    </xf>
    <xf numFmtId="0" fontId="9" fillId="2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1" fillId="0" borderId="0" xfId="0" applyFont="1" applyAlignment="1"/>
    <xf numFmtId="178" fontId="10" fillId="6" borderId="4" xfId="0" applyNumberFormat="1" applyFont="1" applyFill="1" applyBorder="1" applyAlignment="1">
      <alignment horizontal="left" vertical="center" wrapText="1"/>
    </xf>
    <xf numFmtId="58" fontId="10" fillId="6" borderId="4" xfId="0" applyNumberFormat="1" applyFont="1" applyFill="1" applyBorder="1" applyAlignment="1">
      <alignment horizontal="left" vertical="center" wrapText="1"/>
    </xf>
    <xf numFmtId="3" fontId="10" fillId="6" borderId="4" xfId="0" applyNumberFormat="1" applyFont="1" applyFill="1" applyBorder="1" applyAlignment="1">
      <alignment horizontal="center" vertical="center" wrapText="1"/>
    </xf>
    <xf numFmtId="178" fontId="9" fillId="6" borderId="4" xfId="0" applyNumberFormat="1" applyFont="1" applyFill="1" applyBorder="1" applyAlignment="1">
      <alignment horizontal="left" vertical="center"/>
    </xf>
    <xf numFmtId="58" fontId="9" fillId="6" borderId="4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/>
    </xf>
    <xf numFmtId="3" fontId="9" fillId="6" borderId="4" xfId="0" applyNumberFormat="1" applyFont="1" applyFill="1" applyBorder="1" applyAlignment="1">
      <alignment horizontal="center" vertical="center"/>
    </xf>
    <xf numFmtId="178" fontId="9" fillId="0" borderId="4" xfId="0" applyNumberFormat="1" applyFont="1" applyFill="1" applyBorder="1" applyAlignment="1">
      <alignment horizontal="left" vertical="center"/>
    </xf>
    <xf numFmtId="58" fontId="9" fillId="0" borderId="4" xfId="0" applyNumberFormat="1" applyFont="1" applyFill="1" applyBorder="1" applyAlignment="1">
      <alignment horizontal="left" vertical="center"/>
    </xf>
    <xf numFmtId="3" fontId="9" fillId="0" borderId="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1" xfId="0" applyFont="1" applyBorder="1"/>
    <xf numFmtId="0" fontId="12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2" fillId="0" borderId="0" xfId="0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2" borderId="4" xfId="0" applyFont="1" applyFill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178" fontId="12" fillId="0" borderId="4" xfId="0" applyNumberFormat="1" applyFont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/>
    </xf>
    <xf numFmtId="178" fontId="12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2" fillId="2" borderId="4" xfId="0" applyFont="1" applyFill="1" applyBorder="1" applyAlignment="1"/>
    <xf numFmtId="0" fontId="15" fillId="3" borderId="4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2" fillId="0" borderId="4" xfId="0" applyFont="1" applyBorder="1" applyAlignment="1">
      <alignment wrapText="1"/>
    </xf>
    <xf numFmtId="178" fontId="12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/>
    </xf>
    <xf numFmtId="58" fontId="12" fillId="0" borderId="4" xfId="0" applyNumberFormat="1" applyFont="1" applyBorder="1" applyAlignment="1">
      <alignment horizontal="center" vertical="center"/>
    </xf>
    <xf numFmtId="3" fontId="12" fillId="0" borderId="4" xfId="0" applyNumberFormat="1" applyFont="1" applyBorder="1" applyAlignment="1">
      <alignment horizontal="right" vertical="center"/>
    </xf>
    <xf numFmtId="3" fontId="12" fillId="0" borderId="4" xfId="0" applyNumberFormat="1" applyFont="1" applyBorder="1" applyAlignment="1">
      <alignment vertical="center"/>
    </xf>
    <xf numFmtId="4" fontId="12" fillId="2" borderId="4" xfId="0" applyNumberFormat="1" applyFont="1" applyFill="1" applyBorder="1" applyAlignment="1">
      <alignment vertical="center"/>
    </xf>
    <xf numFmtId="3" fontId="12" fillId="2" borderId="4" xfId="0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178" fontId="15" fillId="2" borderId="4" xfId="0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2" fillId="0" borderId="4" xfId="0" applyFont="1" applyBorder="1" applyAlignment="1"/>
    <xf numFmtId="178" fontId="12" fillId="0" borderId="4" xfId="0" applyNumberFormat="1" applyFont="1" applyBorder="1" applyAlignment="1">
      <alignment horizontal="center"/>
    </xf>
    <xf numFmtId="0" fontId="12" fillId="2" borderId="6" xfId="0" applyFont="1" applyFill="1" applyBorder="1" applyAlignment="1">
      <alignment vertical="center"/>
    </xf>
    <xf numFmtId="0" fontId="12" fillId="2" borderId="6" xfId="0" applyFont="1" applyFill="1" applyBorder="1" applyAlignment="1"/>
    <xf numFmtId="0" fontId="12" fillId="0" borderId="4" xfId="0" applyFont="1" applyBorder="1" applyAlignment="1">
      <alignment horizontal="center"/>
    </xf>
    <xf numFmtId="0" fontId="12" fillId="3" borderId="4" xfId="0" applyFont="1" applyFill="1" applyBorder="1" applyAlignment="1"/>
    <xf numFmtId="0" fontId="14" fillId="3" borderId="4" xfId="0" applyFont="1" applyFill="1" applyBorder="1" applyAlignment="1"/>
    <xf numFmtId="178" fontId="12" fillId="3" borderId="4" xfId="0" applyNumberFormat="1" applyFont="1" applyFill="1" applyBorder="1" applyAlignment="1">
      <alignment horizontal="center"/>
    </xf>
    <xf numFmtId="0" fontId="16" fillId="3" borderId="4" xfId="0" applyFont="1" applyFill="1" applyBorder="1" applyAlignment="1"/>
    <xf numFmtId="0" fontId="12" fillId="3" borderId="4" xfId="0" applyFont="1" applyFill="1" applyBorder="1" applyAlignment="1">
      <alignment horizontal="center"/>
    </xf>
    <xf numFmtId="0" fontId="17" fillId="4" borderId="4" xfId="0" applyFont="1" applyFill="1" applyBorder="1" applyAlignment="1"/>
    <xf numFmtId="0" fontId="18" fillId="0" borderId="4" xfId="0" applyFont="1" applyBorder="1" applyAlignment="1"/>
    <xf numFmtId="0" fontId="15" fillId="3" borderId="4" xfId="0" applyFont="1" applyFill="1" applyBorder="1" applyAlignment="1">
      <alignment horizontal="left"/>
    </xf>
    <xf numFmtId="179" fontId="12" fillId="0" borderId="4" xfId="0" applyNumberFormat="1" applyFont="1" applyBorder="1" applyAlignment="1">
      <alignment horizontal="right" vertical="center"/>
    </xf>
    <xf numFmtId="3" fontId="12" fillId="0" borderId="4" xfId="0" applyNumberFormat="1" applyFont="1" applyBorder="1" applyAlignment="1"/>
    <xf numFmtId="58" fontId="12" fillId="0" borderId="4" xfId="0" applyNumberFormat="1" applyFont="1" applyBorder="1" applyAlignment="1">
      <alignment horizontal="center"/>
    </xf>
    <xf numFmtId="4" fontId="12" fillId="3" borderId="4" xfId="0" applyNumberFormat="1" applyFont="1" applyFill="1" applyBorder="1" applyAlignment="1"/>
    <xf numFmtId="0" fontId="12" fillId="3" borderId="4" xfId="0" applyFont="1" applyFill="1" applyBorder="1"/>
    <xf numFmtId="4" fontId="12" fillId="3" borderId="4" xfId="0" applyNumberFormat="1" applyFont="1" applyFill="1" applyBorder="1"/>
    <xf numFmtId="3" fontId="12" fillId="3" borderId="4" xfId="0" applyNumberFormat="1" applyFont="1" applyFill="1" applyBorder="1"/>
    <xf numFmtId="4" fontId="12" fillId="3" borderId="4" xfId="0" applyNumberFormat="1" applyFont="1" applyFill="1" applyBorder="1" applyAlignment="1">
      <alignment horizontal="right"/>
    </xf>
    <xf numFmtId="0" fontId="12" fillId="0" borderId="0" xfId="0" applyFont="1" applyAlignment="1">
      <alignment vertical="center"/>
    </xf>
    <xf numFmtId="0" fontId="12" fillId="3" borderId="7" xfId="0" applyFont="1" applyFill="1" applyBorder="1"/>
    <xf numFmtId="0" fontId="12" fillId="3" borderId="0" xfId="0" applyFont="1" applyFill="1"/>
    <xf numFmtId="0" fontId="16" fillId="3" borderId="4" xfId="0" applyFont="1" applyFill="1" applyBorder="1" applyAlignment="1">
      <alignment horizontal="left" vertical="top"/>
    </xf>
    <xf numFmtId="0" fontId="12" fillId="0" borderId="0" xfId="0" applyFont="1" applyAlignment="1"/>
    <xf numFmtId="178" fontId="12" fillId="0" borderId="0" xfId="0" applyNumberFormat="1" applyFont="1" applyAlignment="1">
      <alignment horizontal="center"/>
    </xf>
    <xf numFmtId="0" fontId="16" fillId="3" borderId="0" xfId="0" applyFont="1" applyFill="1" applyAlignment="1"/>
    <xf numFmtId="0" fontId="19" fillId="0" borderId="0" xfId="0" applyFont="1" applyAlignment="1"/>
    <xf numFmtId="0" fontId="20" fillId="7" borderId="0" xfId="0" applyFont="1" applyFill="1" applyAlignment="1">
      <alignment horizontal="center"/>
    </xf>
    <xf numFmtId="0" fontId="9" fillId="5" borderId="8" xfId="0" applyFont="1" applyFill="1" applyBorder="1"/>
    <xf numFmtId="0" fontId="9" fillId="0" borderId="9" xfId="0" applyFont="1" applyBorder="1"/>
    <xf numFmtId="0" fontId="9" fillId="0" borderId="10" xfId="0" applyFont="1" applyBorder="1"/>
    <xf numFmtId="58" fontId="9" fillId="0" borderId="10" xfId="0" applyNumberFormat="1" applyFont="1" applyBorder="1" applyAlignment="1">
      <alignment horizontal="center"/>
    </xf>
    <xf numFmtId="182" fontId="21" fillId="0" borderId="11" xfId="0" applyNumberFormat="1" applyFont="1" applyBorder="1" applyAlignment="1">
      <alignment horizontal="center" vertical="center"/>
    </xf>
    <xf numFmtId="183" fontId="9" fillId="5" borderId="8" xfId="0" applyNumberFormat="1" applyFont="1" applyFill="1" applyBorder="1" applyAlignment="1">
      <alignment horizontal="left"/>
    </xf>
    <xf numFmtId="184" fontId="9" fillId="5" borderId="8" xfId="0" applyNumberFormat="1" applyFont="1" applyFill="1" applyBorder="1"/>
    <xf numFmtId="185" fontId="9" fillId="5" borderId="8" xfId="0" applyNumberFormat="1" applyFont="1" applyFill="1" applyBorder="1"/>
    <xf numFmtId="4" fontId="12" fillId="0" borderId="4" xfId="0" applyNumberFormat="1" applyFont="1" applyBorder="1" applyAlignment="1">
      <alignment horizontal="right"/>
    </xf>
    <xf numFmtId="0" fontId="12" fillId="0" borderId="4" xfId="0" applyFont="1" applyBorder="1"/>
    <xf numFmtId="4" fontId="12" fillId="0" borderId="0" xfId="0" applyNumberFormat="1" applyFont="1" applyAlignment="1">
      <alignment horizontal="right"/>
    </xf>
    <xf numFmtId="0" fontId="12" fillId="0" borderId="0" xfId="0" applyFont="1"/>
    <xf numFmtId="0" fontId="22" fillId="3" borderId="0" xfId="0" applyFont="1" applyFill="1" applyAlignme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186" fontId="21" fillId="0" borderId="12" xfId="0" applyNumberFormat="1" applyFont="1" applyBorder="1" applyAlignment="1">
      <alignment horizontal="center" vertical="center"/>
    </xf>
    <xf numFmtId="49" fontId="9" fillId="0" borderId="9" xfId="0" applyNumberFormat="1" applyFont="1" applyBorder="1"/>
    <xf numFmtId="49" fontId="9" fillId="0" borderId="10" xfId="0" applyNumberFormat="1" applyFont="1" applyBorder="1"/>
    <xf numFmtId="0" fontId="9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2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2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  <numFmt numFmtId="4" formatCode="#,##0.00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  <numFmt numFmtId="4" formatCode="#,##0.00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  <numFmt numFmtId="4" formatCode="#,##0.00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  <numFmt numFmtId="4" formatCode="#,##0.00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2025 TEKLİF LİSTESİ-style" pivot="0" count="4" xr9:uid="{C58E9491-D5B8-48B0-B194-54589FEC01D0}">
      <tableStyleElement type="wholeTable" dxfId="173"/>
      <tableStyleElement type="headerRow" dxfId="172"/>
      <tableStyleElement type="firstRowStripe" dxfId="171"/>
      <tableStyleElement type="secondRowStripe" dxfId="170"/>
    </tableStyle>
    <tableStyle name="2025 TEKLİF LİSTESİ-style 2" pivot="0" count="2" xr9:uid="{0C4D68A5-C1CC-4CA0-9244-5440EA20E85C}">
      <tableStyleElement type="firstRowStripe" dxfId="175"/>
      <tableStyleElement type="secondRowStripe" dxfId="174"/>
    </tableStyle>
    <tableStyle name="2025 TEKLİF LİSTESİ-style 3" pivot="0" count="2" xr9:uid="{747EE021-E5D3-4A50-9E69-822F9880DB40}">
      <tableStyleElement type="firstRowStripe" dxfId="177"/>
      <tableStyleElement type="secondRowStripe" dxfId="176"/>
    </tableStyle>
    <tableStyle name="2025 TEKLİF LİSTESİ-style 4" pivot="0" count="2" xr9:uid="{DAFA273A-AB50-43C3-BA2A-EE63F52CE7BC}">
      <tableStyleElement type="firstRowStripe" dxfId="179"/>
      <tableStyleElement type="secondRowStripe" dxfId="178"/>
    </tableStyle>
    <tableStyle name="2025 TEKLİF LİSTESİ-style 5" pivot="0" count="2" xr9:uid="{0BE9643B-D8AB-44DF-B9EA-8D13B627D192}">
      <tableStyleElement type="firstRowStripe" dxfId="181"/>
      <tableStyleElement type="secondRowStripe" dxfId="18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438150</xdr:colOff>
      <xdr:row>1</xdr:row>
      <xdr:rowOff>19050</xdr:rowOff>
    </xdr:from>
    <xdr:ext cx="1609725" cy="400050"/>
    <xdr:pic>
      <xdr:nvPicPr>
        <xdr:cNvPr id="3" name="image1.png" title="Resi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38150" y="190500"/>
          <a:ext cx="160972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438150</xdr:colOff>
      <xdr:row>1</xdr:row>
      <xdr:rowOff>19050</xdr:rowOff>
    </xdr:from>
    <xdr:ext cx="1609725" cy="400050"/>
    <xdr:pic>
      <xdr:nvPicPr>
        <xdr:cNvPr id="2" name="image1.png" title="Resi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38150" y="190500"/>
          <a:ext cx="1609725" cy="4000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6" name="Tablo1_7" displayName="Tablo1_7" ref="A3:Q104">
  <autoFilter xmlns:etc="http://www.wps.cn/officeDocument/2017/etCustomData" ref="A3:Q104" etc:filterBottomFollowUsedRange="0"/>
  <tableColumns count="17">
    <tableColumn id="1" name="Sonuç" dataDxfId="0"/>
    <tableColumn id="2" name="No" dataDxfId="1"/>
    <tableColumn id="3" name="Hazırlayan" dataDxfId="2"/>
    <tableColumn id="4" name="Müşteri" dataDxfId="3"/>
    <tableColumn id="5" name="Müşteri Yetkilisi" dataDxfId="4"/>
    <tableColumn id="6" name="Teklifin Tanımı" dataDxfId="5"/>
    <tableColumn id="7" name="Talep Tarihi" dataDxfId="6"/>
    <tableColumn id="8" name="Teklif                     Verilme Tarihi" dataDxfId="7"/>
    <tableColumn id="9" name="Teklif Son Tarihi" dataDxfId="8"/>
    <tableColumn id="10" name="Para Birimi" dataDxfId="9"/>
    <tableColumn id="11" name="Fiyat " dataDxfId="10"/>
    <tableColumn id="12" name="Fiyat (R1)" dataDxfId="11"/>
    <tableColumn id="13" name="Fiyat (R2)" dataDxfId="12"/>
    <tableColumn id="14" name="Fiyat (R3)" dataDxfId="13"/>
    <tableColumn id="15" name="Fiyat (R4)" dataDxfId="14"/>
    <tableColumn id="16" name="Son Fiyat (EUR)" dataDxfId="15"/>
    <tableColumn id="17" name="Son Durum" dataDxfId="16"/>
  </tableColumns>
  <tableStyleInfo name="2025 TEKLİF LİSTESİ-style" showFirstColumn="1" showLastColumn="1" showRowStripes="1" showColumnStripes="0"/>
</table>
</file>

<file path=xl/tables/table2.xml><?xml version="1.0" encoding="utf-8"?>
<table xmlns="http://schemas.openxmlformats.org/spreadsheetml/2006/main" id="7" name="Table_18" displayName="Table_18" ref="A105:Q105" headerRowCount="0">
  <tableColumns count="17">
    <tableColumn id="1" name="Column1" dataDxfId="17"/>
    <tableColumn id="2" name="Column2" dataDxfId="18"/>
    <tableColumn id="3" name="Column3" dataDxfId="19"/>
    <tableColumn id="4" name="Column4" dataDxfId="20"/>
    <tableColumn id="5" name="Column5" dataDxfId="21"/>
    <tableColumn id="6" name="Column6" dataDxfId="22"/>
    <tableColumn id="7" name="Column7" dataDxfId="23"/>
    <tableColumn id="8" name="Column8" dataDxfId="24"/>
    <tableColumn id="9" name="Column9" dataDxfId="25"/>
    <tableColumn id="10" name="Column10" dataDxfId="26"/>
    <tableColumn id="11" name="Column11" dataDxfId="27"/>
    <tableColumn id="12" name="Column12" dataDxfId="28"/>
    <tableColumn id="13" name="Column13" dataDxfId="29"/>
    <tableColumn id="14" name="Column14" dataDxfId="30"/>
    <tableColumn id="15" name="Column15" dataDxfId="31"/>
    <tableColumn id="16" name="Column16" dataDxfId="32"/>
    <tableColumn id="17" name="Column17" dataDxfId="33"/>
  </tableColumns>
  <tableStyleInfo name="2025 TEKLİF LİSTESİ-style 2" showFirstColumn="1" showLastColumn="1" showRowStripes="1" showColumnStripes="0"/>
</table>
</file>

<file path=xl/tables/table3.xml><?xml version="1.0" encoding="utf-8"?>
<table xmlns="http://schemas.openxmlformats.org/spreadsheetml/2006/main" id="8" name="Table_29" displayName="Table_29" ref="A106:Q106" headerRowCount="0">
  <tableColumns count="17">
    <tableColumn id="1" name="Column1" dataDxfId="34"/>
    <tableColumn id="2" name="Column2" dataDxfId="35"/>
    <tableColumn id="3" name="Column3" dataDxfId="36"/>
    <tableColumn id="4" name="Column4" dataDxfId="37"/>
    <tableColumn id="5" name="Column5" dataDxfId="38"/>
    <tableColumn id="6" name="Column6" dataDxfId="39"/>
    <tableColumn id="7" name="Column7" dataDxfId="40"/>
    <tableColumn id="8" name="Column8" dataDxfId="41"/>
    <tableColumn id="9" name="Column9" dataDxfId="42"/>
    <tableColumn id="10" name="Column10" dataDxfId="43"/>
    <tableColumn id="11" name="Column11" dataDxfId="44"/>
    <tableColumn id="12" name="Column12" dataDxfId="45"/>
    <tableColumn id="13" name="Column13" dataDxfId="46"/>
    <tableColumn id="14" name="Column14" dataDxfId="47"/>
    <tableColumn id="15" name="Column15" dataDxfId="48"/>
    <tableColumn id="16" name="Column16" dataDxfId="49"/>
    <tableColumn id="17" name="Column17" dataDxfId="50"/>
  </tableColumns>
  <tableStyleInfo name="2025 TEKLİF LİSTESİ-style 3" showFirstColumn="1" showLastColumn="1" showRowStripes="1" showColumnStripes="0"/>
</table>
</file>

<file path=xl/tables/table4.xml><?xml version="1.0" encoding="utf-8"?>
<table xmlns="http://schemas.openxmlformats.org/spreadsheetml/2006/main" id="9" name="Table_310" displayName="Table_310" ref="A107:Q107" headerRowCount="0">
  <tableColumns count="17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  <tableColumn id="10" name="Column10" dataDxfId="60"/>
    <tableColumn id="11" name="Column11" dataDxfId="61"/>
    <tableColumn id="12" name="Column12" dataDxfId="62"/>
    <tableColumn id="13" name="Column13" dataDxfId="63"/>
    <tableColumn id="14" name="Column14" dataDxfId="64"/>
    <tableColumn id="15" name="Column15" dataDxfId="65"/>
    <tableColumn id="16" name="Column16" dataDxfId="66"/>
    <tableColumn id="17" name="Column17" dataDxfId="67"/>
  </tableColumns>
  <tableStyleInfo name="2025 TEKLİF LİSTESİ-style 4" showFirstColumn="1" showLastColumn="1" showRowStripes="1" showColumnStripes="0"/>
</table>
</file>

<file path=xl/tables/table5.xml><?xml version="1.0" encoding="utf-8"?>
<table xmlns="http://schemas.openxmlformats.org/spreadsheetml/2006/main" id="10" name="Table_411" displayName="Table_411" ref="A108:Q132" headerRowCount="0">
  <tableColumns count="17">
    <tableColumn id="1" name="Column1" dataDxfId="68"/>
    <tableColumn id="2" name="Column2" dataDxfId="69"/>
    <tableColumn id="3" name="Column3" dataDxfId="70"/>
    <tableColumn id="4" name="Column4" dataDxfId="71"/>
    <tableColumn id="5" name="Column5" dataDxfId="72"/>
    <tableColumn id="6" name="Column6" dataDxfId="73"/>
    <tableColumn id="7" name="Column7" dataDxfId="74"/>
    <tableColumn id="8" name="Column8" dataDxfId="75"/>
    <tableColumn id="9" name="Column9" dataDxfId="76"/>
    <tableColumn id="10" name="Column10" dataDxfId="77"/>
    <tableColumn id="11" name="Column11" dataDxfId="78"/>
    <tableColumn id="12" name="Column12" dataDxfId="79"/>
    <tableColumn id="13" name="Column13" dataDxfId="80"/>
    <tableColumn id="14" name="Column14" dataDxfId="81"/>
    <tableColumn id="15" name="Column15" dataDxfId="82"/>
    <tableColumn id="16" name="Column16" dataDxfId="83"/>
    <tableColumn id="17" name="Column17" dataDxfId="84"/>
  </tableColumns>
  <tableStyleInfo name="2025 TEKLİF LİSTESİ-style 5" showFirstColumn="1" showLastColumn="1" showRowStripes="1" showColumnStripes="0"/>
</table>
</file>

<file path=xl/tables/table6.xml><?xml version="1.0" encoding="utf-8"?>
<table xmlns="http://schemas.openxmlformats.org/spreadsheetml/2006/main" id="11" name="Tablo1_712" displayName="Tablo1_712" ref="A3:Q104">
  <autoFilter xmlns:etc="http://www.wps.cn/officeDocument/2017/etCustomData" ref="A3:Q104" etc:filterBottomFollowUsedRange="0"/>
  <tableColumns count="17">
    <tableColumn id="1" name="Sonuç" dataDxfId="85"/>
    <tableColumn id="2" name="No" dataDxfId="86"/>
    <tableColumn id="3" name="Hazırlayan" dataDxfId="87"/>
    <tableColumn id="4" name="Müşteri" dataDxfId="88"/>
    <tableColumn id="5" name="Müşteri Yetkilisi" dataDxfId="89"/>
    <tableColumn id="6" name="Teklifin Tanımı" dataDxfId="90"/>
    <tableColumn id="7" name="Talep Tarihi" dataDxfId="91"/>
    <tableColumn id="8" name="Teklif                     Verilme Tarihi" dataDxfId="92"/>
    <tableColumn id="9" name="Teklif Son Tarihi" dataDxfId="93"/>
    <tableColumn id="10" name="Para Birimi" dataDxfId="94"/>
    <tableColumn id="11" name="Fiyat " dataDxfId="95"/>
    <tableColumn id="12" name="Fiyat (R1)" dataDxfId="96"/>
    <tableColumn id="13" name="Fiyat (R2)" dataDxfId="97"/>
    <tableColumn id="14" name="Fiyat (R3)" dataDxfId="98"/>
    <tableColumn id="15" name="Fiyat (R4)" dataDxfId="99"/>
    <tableColumn id="16" name="Son Fiyat (EUR)" dataDxfId="100">
      <calculatedColumnFormula>IF(J4="€",IF(O4&lt;&gt;"",O4,IF(N4&lt;&gt;"",N4,IF(M4&lt;&gt;"",M4,IF(L4&lt;&gt;"",L4,IF(K4&lt;&gt;"",K4,""))))),IF(J4="$",IF(O4&lt;&gt;"",O4,IF(N4&lt;&gt;"",N4,IF(M4&lt;&gt;"",M4,IF(L4&lt;&gt;"",L4,IF(K4&lt;&gt;"",K4,"")))))*0.93,IF(J4="TRY",IF(O4&lt;&gt;"",O4,IF(N4&lt;&gt;"",N4,IF(M4&lt;&gt;"",M4,IF(L4&lt;&gt;"",L4,IF(K4&lt;&gt;"",K4,"")))))*0.024,"")))</calculatedColumnFormula>
    </tableColumn>
    <tableColumn id="17" name="Son Durum" dataDxfId="101"/>
  </tableColumns>
  <tableStyleInfo name="2025 TEKLİF LİSTESİ-style" showFirstColumn="1" showLastColumn="1" showRowStripes="1" showColumnStripes="0"/>
</table>
</file>

<file path=xl/tables/table7.xml><?xml version="1.0" encoding="utf-8"?>
<table xmlns="http://schemas.openxmlformats.org/spreadsheetml/2006/main" id="12" name="Table_1813" displayName="Table_1813" ref="A105:Q105" headerRowCount="0">
  <tableColumns count="17">
    <tableColumn id="1" name="Column1" dataDxfId="102"/>
    <tableColumn id="2" name="Column2" dataDxfId="103"/>
    <tableColumn id="3" name="Column3" dataDxfId="104"/>
    <tableColumn id="4" name="Column4" dataDxfId="105"/>
    <tableColumn id="5" name="Column5" dataDxfId="106"/>
    <tableColumn id="6" name="Column6" dataDxfId="107"/>
    <tableColumn id="7" name="Column7" dataDxfId="108"/>
    <tableColumn id="8" name="Column8" dataDxfId="109"/>
    <tableColumn id="9" name="Column9" dataDxfId="110"/>
    <tableColumn id="10" name="Column10" dataDxfId="111"/>
    <tableColumn id="11" name="Column11" dataDxfId="112"/>
    <tableColumn id="12" name="Column12" dataDxfId="113"/>
    <tableColumn id="13" name="Column13" dataDxfId="114"/>
    <tableColumn id="14" name="Column14" dataDxfId="115"/>
    <tableColumn id="15" name="Column15" dataDxfId="116"/>
    <tableColumn id="16" name="Column16" dataDxfId="117"/>
    <tableColumn id="17" name="Column17" dataDxfId="118"/>
  </tableColumns>
  <tableStyleInfo name="2025 TEKLİF LİSTESİ-style 2" showFirstColumn="1" showLastColumn="1" showRowStripes="1" showColumnStripes="0"/>
</table>
</file>

<file path=xl/tables/table8.xml><?xml version="1.0" encoding="utf-8"?>
<table xmlns="http://schemas.openxmlformats.org/spreadsheetml/2006/main" id="13" name="Table_2914" displayName="Table_2914" ref="A106:Q106" headerRowCount="0">
  <tableColumns count="17">
    <tableColumn id="1" name="Column1" dataDxfId="119"/>
    <tableColumn id="2" name="Column2" dataDxfId="120"/>
    <tableColumn id="3" name="Column3" dataDxfId="121"/>
    <tableColumn id="4" name="Column4" dataDxfId="122"/>
    <tableColumn id="5" name="Column5" dataDxfId="123"/>
    <tableColumn id="6" name="Column6" dataDxfId="124"/>
    <tableColumn id="7" name="Column7" dataDxfId="125"/>
    <tableColumn id="8" name="Column8" dataDxfId="126"/>
    <tableColumn id="9" name="Column9" dataDxfId="127"/>
    <tableColumn id="10" name="Column10" dataDxfId="128"/>
    <tableColumn id="11" name="Column11" dataDxfId="129"/>
    <tableColumn id="12" name="Column12" dataDxfId="130"/>
    <tableColumn id="13" name="Column13" dataDxfId="131"/>
    <tableColumn id="14" name="Column14" dataDxfId="132"/>
    <tableColumn id="15" name="Column15" dataDxfId="133"/>
    <tableColumn id="16" name="Column16" dataDxfId="134"/>
    <tableColumn id="17" name="Column17" dataDxfId="135"/>
  </tableColumns>
  <tableStyleInfo name="2025 TEKLİF LİSTESİ-style 3" showFirstColumn="1" showLastColumn="1" showRowStripes="1" showColumnStripes="0"/>
</table>
</file>

<file path=xl/tables/table9.xml><?xml version="1.0" encoding="utf-8"?>
<table xmlns="http://schemas.openxmlformats.org/spreadsheetml/2006/main" id="14" name="Table_31015" displayName="Table_31015" ref="A107:Q107" headerRowCount="0">
  <tableColumns count="17">
    <tableColumn id="1" name="Column1" dataDxfId="136"/>
    <tableColumn id="2" name="Column2" dataDxfId="137"/>
    <tableColumn id="3" name="Column3" dataDxfId="138"/>
    <tableColumn id="4" name="Column4" dataDxfId="139"/>
    <tableColumn id="5" name="Column5" dataDxfId="140"/>
    <tableColumn id="6" name="Column6" dataDxfId="141"/>
    <tableColumn id="7" name="Column7" dataDxfId="142"/>
    <tableColumn id="8" name="Column8" dataDxfId="143"/>
    <tableColumn id="9" name="Column9" dataDxfId="144"/>
    <tableColumn id="10" name="Column10" dataDxfId="145"/>
    <tableColumn id="11" name="Column11" dataDxfId="146"/>
    <tableColumn id="12" name="Column12" dataDxfId="147"/>
    <tableColumn id="13" name="Column13" dataDxfId="148"/>
    <tableColumn id="14" name="Column14" dataDxfId="149"/>
    <tableColumn id="15" name="Column15" dataDxfId="150"/>
    <tableColumn id="16" name="Column16" dataDxfId="151"/>
    <tableColumn id="17" name="Column17" dataDxfId="152"/>
  </tableColumns>
  <tableStyleInfo name="2025 TEKLİF LİSTESİ-style 4" showFirstColumn="1" showLastColumn="1" showRowStripes="1" showColumnStripes="0"/>
</table>
</file>

<file path=xl/tables/table10.xml><?xml version="1.0" encoding="utf-8"?>
<table xmlns="http://schemas.openxmlformats.org/spreadsheetml/2006/main" id="15" name="Table_41116" displayName="Table_41116" ref="A108:Q132" headerRowCount="0">
  <tableColumns count="17">
    <tableColumn id="1" name="Column1" dataDxfId="153"/>
    <tableColumn id="2" name="Column2" dataDxfId="154"/>
    <tableColumn id="3" name="Column3" dataDxfId="155"/>
    <tableColumn id="4" name="Column4" dataDxfId="156"/>
    <tableColumn id="5" name="Column5" dataDxfId="157"/>
    <tableColumn id="6" name="Column6" dataDxfId="158"/>
    <tableColumn id="7" name="Column7" dataDxfId="159"/>
    <tableColumn id="8" name="Column8" dataDxfId="160"/>
    <tableColumn id="9" name="Column9" dataDxfId="161"/>
    <tableColumn id="10" name="Column10" dataDxfId="162"/>
    <tableColumn id="11" name="Column11" dataDxfId="163"/>
    <tableColumn id="12" name="Column12" dataDxfId="164"/>
    <tableColumn id="13" name="Column13" dataDxfId="165"/>
    <tableColumn id="14" name="Column14" dataDxfId="166"/>
    <tableColumn id="15" name="Column15" dataDxfId="167"/>
    <tableColumn id="16" name="Column16" dataDxfId="168"/>
    <tableColumn id="17" name="Column17" dataDxfId="169"/>
  </tableColumns>
  <tableStyleInfo name="2025 TEKLİF LİSTESİ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7" Type="http://schemas.openxmlformats.org/officeDocument/2006/relationships/table" Target="../tables/table4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7" Type="http://schemas.openxmlformats.org/officeDocument/2006/relationships/table" Target="../tables/table9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75"/>
  <sheetViews>
    <sheetView tabSelected="1" workbookViewId="0">
      <selection activeCell="C1" sqref="C$1:C$1048576"/>
    </sheetView>
  </sheetViews>
  <sheetFormatPr defaultColWidth="14.4259259259259" defaultRowHeight="15" customHeight="1"/>
  <cols>
    <col min="1" max="1" width="10" customWidth="1"/>
    <col min="2" max="2" width="12.4259259259259" customWidth="1"/>
    <col min="3" max="3" width="14.287037037037" customWidth="1"/>
    <col min="4" max="4" width="19.5740740740741" customWidth="1"/>
    <col min="5" max="5" width="24.287037037037" customWidth="1"/>
    <col min="6" max="6" width="41.1111111111111" customWidth="1"/>
    <col min="7" max="7" width="15" hidden="1" customWidth="1"/>
    <col min="8" max="8" width="15.1388888888889" hidden="1" customWidth="1"/>
    <col min="9" max="9" width="14.4259259259259" customWidth="1"/>
    <col min="10" max="10" width="9.28703703703704" customWidth="1"/>
    <col min="11" max="11" width="12.712962962963" customWidth="1"/>
    <col min="12" max="12" width="17.287037037037" hidden="1" customWidth="1"/>
    <col min="13" max="15" width="13.5740740740741" hidden="1" customWidth="1"/>
    <col min="16" max="16" width="21.712962962963" customWidth="1"/>
    <col min="17" max="17" width="14.6666666666667" customWidth="1"/>
  </cols>
  <sheetData>
    <row r="1" ht="13.5" customHeight="1" spans="1:28">
      <c r="A1" s="2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customFormat="1" ht="37.5" customHeight="1" spans="1:28">
      <c r="A2" s="88"/>
      <c r="E2" s="89"/>
      <c r="F2" s="90" t="s">
        <v>0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ht="25.5" customHeight="1" spans="1:28">
      <c r="A3" s="92" t="s">
        <v>1</v>
      </c>
      <c r="B3" s="92" t="s">
        <v>2</v>
      </c>
      <c r="C3" s="92" t="s">
        <v>3</v>
      </c>
      <c r="D3" s="92" t="s">
        <v>4</v>
      </c>
      <c r="E3" s="92" t="s">
        <v>5</v>
      </c>
      <c r="F3" s="92" t="s">
        <v>6</v>
      </c>
      <c r="G3" s="93" t="s">
        <v>7</v>
      </c>
      <c r="H3" s="94" t="s">
        <v>8</v>
      </c>
      <c r="I3" s="108" t="s">
        <v>9</v>
      </c>
      <c r="J3" s="94" t="s">
        <v>10</v>
      </c>
      <c r="K3" s="109" t="s">
        <v>11</v>
      </c>
      <c r="L3" s="92" t="s">
        <v>12</v>
      </c>
      <c r="M3" s="92" t="s">
        <v>13</v>
      </c>
      <c r="N3" s="92" t="s">
        <v>14</v>
      </c>
      <c r="O3" s="92" t="s">
        <v>15</v>
      </c>
      <c r="P3" s="109" t="s">
        <v>16</v>
      </c>
      <c r="Q3" s="92" t="s">
        <v>17</v>
      </c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customHeight="1" spans="1:28">
      <c r="A4" s="95" t="s">
        <v>18</v>
      </c>
      <c r="B4" s="96" t="s">
        <v>19</v>
      </c>
      <c r="C4" s="97" t="s">
        <v>20</v>
      </c>
      <c r="D4" s="97" t="s">
        <v>21</v>
      </c>
      <c r="E4" s="97" t="s">
        <v>22</v>
      </c>
      <c r="F4" s="97" t="s">
        <v>23</v>
      </c>
      <c r="G4" s="98">
        <v>45537</v>
      </c>
      <c r="H4" s="98">
        <v>45727</v>
      </c>
      <c r="I4" s="98">
        <v>45733</v>
      </c>
      <c r="J4" s="110" t="s">
        <v>24</v>
      </c>
      <c r="K4" s="111">
        <v>644828</v>
      </c>
      <c r="L4" s="112">
        <v>684830</v>
      </c>
      <c r="M4" s="111">
        <v>670000</v>
      </c>
      <c r="N4" s="111">
        <v>680000</v>
      </c>
      <c r="O4" s="111"/>
      <c r="P4" s="113">
        <f t="shared" ref="P4:P67" si="0">IF(J4="€",IF(O4&lt;&gt;"",O4,IF(N4&lt;&gt;"",N4,IF(M4&lt;&gt;"",M4,IF(L4&lt;&gt;"",L4,IF(K4&lt;&gt;"",K4,""))))),IF(J4="$",IF(O4&lt;&gt;"",O4,IF(N4&lt;&gt;"",N4,IF(M4&lt;&gt;"",M4,IF(L4&lt;&gt;"",L4,IF(K4&lt;&gt;"",K4,"")))))*0.93,IF(J4="TRY",IF(O4&lt;&gt;"",O4,IF(N4&lt;&gt;"",N4,IF(M4&lt;&gt;"",M4,IF(L4&lt;&gt;"",L4,IF(K4&lt;&gt;"",K4,"")))))*0.024,"")))</f>
        <v>680000</v>
      </c>
      <c r="Q4" s="95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customHeight="1" spans="1:28">
      <c r="A5" s="95" t="s">
        <v>18</v>
      </c>
      <c r="B5" s="97" t="s">
        <v>25</v>
      </c>
      <c r="C5" s="97" t="s">
        <v>26</v>
      </c>
      <c r="D5" s="97" t="s">
        <v>27</v>
      </c>
      <c r="E5" s="97" t="s">
        <v>28</v>
      </c>
      <c r="F5" s="97" t="s">
        <v>29</v>
      </c>
      <c r="G5" s="98">
        <v>45663</v>
      </c>
      <c r="H5" s="98">
        <v>45663</v>
      </c>
      <c r="I5" s="98">
        <v>45663</v>
      </c>
      <c r="J5" s="110" t="s">
        <v>24</v>
      </c>
      <c r="K5" s="111">
        <v>11500</v>
      </c>
      <c r="L5" s="112">
        <v>10700</v>
      </c>
      <c r="M5" s="111">
        <v>9500</v>
      </c>
      <c r="N5" s="111"/>
      <c r="O5" s="111"/>
      <c r="P5" s="113">
        <f t="shared" si="0"/>
        <v>9500</v>
      </c>
      <c r="Q5" s="95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customHeight="1" spans="1:28">
      <c r="A6" s="95" t="s">
        <v>18</v>
      </c>
      <c r="B6" s="95" t="s">
        <v>30</v>
      </c>
      <c r="C6" s="95" t="s">
        <v>26</v>
      </c>
      <c r="D6" s="95" t="s">
        <v>27</v>
      </c>
      <c r="E6" s="95" t="s">
        <v>31</v>
      </c>
      <c r="F6" s="95" t="s">
        <v>32</v>
      </c>
      <c r="G6" s="98">
        <v>45663</v>
      </c>
      <c r="H6" s="98"/>
      <c r="I6" s="98"/>
      <c r="J6" s="110" t="s">
        <v>24</v>
      </c>
      <c r="K6" s="111">
        <v>28117</v>
      </c>
      <c r="L6" s="112">
        <v>15650</v>
      </c>
      <c r="M6" s="111"/>
      <c r="N6" s="111"/>
      <c r="O6" s="111"/>
      <c r="P6" s="113">
        <f t="shared" si="0"/>
        <v>15650</v>
      </c>
      <c r="Q6" s="95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customHeight="1" spans="1:28">
      <c r="A7" s="95" t="s">
        <v>18</v>
      </c>
      <c r="B7" s="96" t="s">
        <v>33</v>
      </c>
      <c r="C7" s="97" t="s">
        <v>34</v>
      </c>
      <c r="D7" s="97" t="s">
        <v>35</v>
      </c>
      <c r="E7" s="97" t="s">
        <v>36</v>
      </c>
      <c r="F7" s="97" t="s">
        <v>37</v>
      </c>
      <c r="G7" s="98">
        <v>45586</v>
      </c>
      <c r="H7" s="98"/>
      <c r="I7" s="98"/>
      <c r="J7" s="110" t="s">
        <v>24</v>
      </c>
      <c r="K7" s="111">
        <v>76700</v>
      </c>
      <c r="L7" s="112"/>
      <c r="M7" s="111"/>
      <c r="N7" s="111"/>
      <c r="O7" s="111"/>
      <c r="P7" s="113">
        <f t="shared" si="0"/>
        <v>76700</v>
      </c>
      <c r="Q7" s="95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customHeight="1" spans="1:28">
      <c r="A8" s="95" t="s">
        <v>18</v>
      </c>
      <c r="B8" s="95" t="s">
        <v>38</v>
      </c>
      <c r="C8" s="95" t="s">
        <v>26</v>
      </c>
      <c r="D8" s="95" t="s">
        <v>39</v>
      </c>
      <c r="E8" s="95" t="s">
        <v>40</v>
      </c>
      <c r="F8" s="95" t="s">
        <v>41</v>
      </c>
      <c r="G8" s="99">
        <v>45663</v>
      </c>
      <c r="H8" s="98"/>
      <c r="I8" s="98"/>
      <c r="J8" s="110" t="s">
        <v>24</v>
      </c>
      <c r="K8" s="114">
        <v>16160</v>
      </c>
      <c r="L8" s="112"/>
      <c r="M8" s="111"/>
      <c r="N8" s="111"/>
      <c r="O8" s="111"/>
      <c r="P8" s="113">
        <f t="shared" si="0"/>
        <v>16160</v>
      </c>
      <c r="Q8" s="95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customHeight="1" spans="1:28">
      <c r="A9" s="95" t="s">
        <v>18</v>
      </c>
      <c r="B9" s="95" t="s">
        <v>42</v>
      </c>
      <c r="C9" s="95" t="s">
        <v>26</v>
      </c>
      <c r="D9" s="95" t="s">
        <v>43</v>
      </c>
      <c r="E9" s="95" t="s">
        <v>44</v>
      </c>
      <c r="F9" s="95" t="s">
        <v>45</v>
      </c>
      <c r="G9" s="98">
        <v>45670</v>
      </c>
      <c r="H9" s="98"/>
      <c r="I9" s="98"/>
      <c r="J9" s="110" t="s">
        <v>24</v>
      </c>
      <c r="K9" s="111">
        <v>13200</v>
      </c>
      <c r="L9" s="112">
        <v>12800</v>
      </c>
      <c r="M9" s="111">
        <v>12650</v>
      </c>
      <c r="N9" s="111"/>
      <c r="O9" s="111"/>
      <c r="P9" s="113">
        <f t="shared" si="0"/>
        <v>12650</v>
      </c>
      <c r="Q9" s="95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customHeight="1" spans="1:28">
      <c r="A10" s="95" t="s">
        <v>18</v>
      </c>
      <c r="B10" s="97" t="s">
        <v>46</v>
      </c>
      <c r="C10" s="97" t="s">
        <v>26</v>
      </c>
      <c r="D10" s="97" t="s">
        <v>47</v>
      </c>
      <c r="E10" s="97" t="s">
        <v>48</v>
      </c>
      <c r="F10" s="97" t="s">
        <v>49</v>
      </c>
      <c r="G10" s="98">
        <v>45665</v>
      </c>
      <c r="H10" s="98">
        <v>45665</v>
      </c>
      <c r="I10" s="98">
        <v>45665</v>
      </c>
      <c r="J10" s="110" t="s">
        <v>50</v>
      </c>
      <c r="K10" s="111">
        <v>441324.85</v>
      </c>
      <c r="L10" s="112"/>
      <c r="M10" s="111"/>
      <c r="N10" s="111"/>
      <c r="O10" s="111"/>
      <c r="P10" s="113">
        <f t="shared" si="0"/>
        <v>10591.7964</v>
      </c>
      <c r="Q10" s="95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customHeight="1" spans="1:28">
      <c r="A11" s="95" t="s">
        <v>18</v>
      </c>
      <c r="B11" s="97" t="s">
        <v>51</v>
      </c>
      <c r="C11" s="97" t="s">
        <v>52</v>
      </c>
      <c r="D11" s="97" t="s">
        <v>47</v>
      </c>
      <c r="E11" s="97" t="s">
        <v>48</v>
      </c>
      <c r="F11" s="97" t="s">
        <v>53</v>
      </c>
      <c r="G11" s="98">
        <v>45666</v>
      </c>
      <c r="H11" s="98">
        <v>45666</v>
      </c>
      <c r="I11" s="98">
        <v>45666</v>
      </c>
      <c r="J11" s="110" t="s">
        <v>50</v>
      </c>
      <c r="K11" s="111">
        <v>161085.9</v>
      </c>
      <c r="L11" s="112"/>
      <c r="M11" s="111"/>
      <c r="N11" s="111"/>
      <c r="O11" s="111"/>
      <c r="P11" s="113">
        <f t="shared" si="0"/>
        <v>3866.0616</v>
      </c>
      <c r="Q11" s="95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customHeight="1" spans="1:28">
      <c r="A12" s="95" t="s">
        <v>18</v>
      </c>
      <c r="B12" s="97" t="s">
        <v>54</v>
      </c>
      <c r="C12" s="97" t="s">
        <v>52</v>
      </c>
      <c r="D12" s="97" t="s">
        <v>47</v>
      </c>
      <c r="E12" s="97" t="s">
        <v>48</v>
      </c>
      <c r="F12" s="97" t="s">
        <v>55</v>
      </c>
      <c r="G12" s="98">
        <v>45666</v>
      </c>
      <c r="H12" s="98">
        <v>45666</v>
      </c>
      <c r="I12" s="98">
        <v>45666</v>
      </c>
      <c r="J12" s="110" t="s">
        <v>50</v>
      </c>
      <c r="K12" s="111">
        <v>161085.9</v>
      </c>
      <c r="L12" s="112"/>
      <c r="M12" s="111"/>
      <c r="N12" s="111"/>
      <c r="O12" s="111"/>
      <c r="P12" s="113">
        <f t="shared" si="0"/>
        <v>3866.0616</v>
      </c>
      <c r="Q12" s="95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customHeight="1" spans="1:28">
      <c r="A13" s="95" t="s">
        <v>18</v>
      </c>
      <c r="B13" s="97" t="s">
        <v>56</v>
      </c>
      <c r="C13" s="97" t="s">
        <v>52</v>
      </c>
      <c r="D13" s="97" t="s">
        <v>47</v>
      </c>
      <c r="E13" s="97" t="s">
        <v>48</v>
      </c>
      <c r="F13" s="97" t="s">
        <v>57</v>
      </c>
      <c r="G13" s="98">
        <v>45666</v>
      </c>
      <c r="H13" s="98">
        <v>45666</v>
      </c>
      <c r="I13" s="98">
        <v>45666</v>
      </c>
      <c r="J13" s="110" t="s">
        <v>50</v>
      </c>
      <c r="K13" s="111">
        <v>289965.55</v>
      </c>
      <c r="L13" s="112"/>
      <c r="M13" s="111"/>
      <c r="N13" s="111"/>
      <c r="O13" s="111"/>
      <c r="P13" s="113">
        <f t="shared" si="0"/>
        <v>6959.1732</v>
      </c>
      <c r="Q13" s="95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customHeight="1" spans="1:28">
      <c r="A14" s="95" t="s">
        <v>18</v>
      </c>
      <c r="B14" s="97" t="s">
        <v>58</v>
      </c>
      <c r="C14" s="97" t="s">
        <v>52</v>
      </c>
      <c r="D14" s="97" t="s">
        <v>47</v>
      </c>
      <c r="E14" s="97" t="s">
        <v>48</v>
      </c>
      <c r="F14" s="97" t="s">
        <v>59</v>
      </c>
      <c r="G14" s="98">
        <v>45666</v>
      </c>
      <c r="H14" s="98">
        <v>45666</v>
      </c>
      <c r="I14" s="98">
        <v>45666</v>
      </c>
      <c r="J14" s="110" t="s">
        <v>50</v>
      </c>
      <c r="K14" s="111">
        <v>289965.55</v>
      </c>
      <c r="L14" s="112"/>
      <c r="M14" s="111"/>
      <c r="N14" s="111"/>
      <c r="O14" s="111"/>
      <c r="P14" s="113">
        <f t="shared" si="0"/>
        <v>6959.1732</v>
      </c>
      <c r="Q14" s="95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customHeight="1" spans="1:28">
      <c r="A15" s="95" t="s">
        <v>18</v>
      </c>
      <c r="B15" s="95" t="s">
        <v>60</v>
      </c>
      <c r="C15" s="95" t="s">
        <v>26</v>
      </c>
      <c r="D15" s="95" t="s">
        <v>61</v>
      </c>
      <c r="E15" s="95" t="s">
        <v>62</v>
      </c>
      <c r="F15" s="95" t="s">
        <v>63</v>
      </c>
      <c r="G15" s="98">
        <v>45681</v>
      </c>
      <c r="H15" s="98">
        <v>45728</v>
      </c>
      <c r="I15" s="98">
        <v>45728</v>
      </c>
      <c r="J15" s="110" t="s">
        <v>24</v>
      </c>
      <c r="K15" s="111">
        <v>309000</v>
      </c>
      <c r="L15" s="112">
        <v>279000</v>
      </c>
      <c r="M15" s="111">
        <v>276400</v>
      </c>
      <c r="N15" s="111">
        <v>294300</v>
      </c>
      <c r="O15" s="111">
        <v>285000</v>
      </c>
      <c r="P15" s="113">
        <f t="shared" si="0"/>
        <v>285000</v>
      </c>
      <c r="Q15" s="95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customHeight="1" spans="1:28">
      <c r="A16" s="95" t="s">
        <v>18</v>
      </c>
      <c r="B16" s="97" t="s">
        <v>64</v>
      </c>
      <c r="C16" s="97" t="s">
        <v>26</v>
      </c>
      <c r="D16" s="97" t="s">
        <v>39</v>
      </c>
      <c r="E16" s="97" t="s">
        <v>40</v>
      </c>
      <c r="F16" s="97" t="s">
        <v>65</v>
      </c>
      <c r="G16" s="98">
        <v>45667</v>
      </c>
      <c r="H16" s="98">
        <v>45670</v>
      </c>
      <c r="I16" s="98">
        <v>45670</v>
      </c>
      <c r="J16" s="110" t="s">
        <v>50</v>
      </c>
      <c r="K16" s="111">
        <v>850</v>
      </c>
      <c r="L16" s="112"/>
      <c r="M16" s="111"/>
      <c r="N16" s="111"/>
      <c r="O16" s="111"/>
      <c r="P16" s="113">
        <f t="shared" si="0"/>
        <v>20.4</v>
      </c>
      <c r="Q16" s="95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customHeight="1" spans="1:28">
      <c r="A17" s="95" t="s">
        <v>18</v>
      </c>
      <c r="B17" s="95" t="s">
        <v>66</v>
      </c>
      <c r="C17" s="95" t="s">
        <v>67</v>
      </c>
      <c r="D17" s="95" t="s">
        <v>68</v>
      </c>
      <c r="E17" s="95" t="s">
        <v>69</v>
      </c>
      <c r="F17" s="95" t="s">
        <v>70</v>
      </c>
      <c r="G17" s="98">
        <v>45670</v>
      </c>
      <c r="H17" s="98">
        <v>45670</v>
      </c>
      <c r="I17" s="98">
        <v>45670</v>
      </c>
      <c r="J17" s="115" t="s">
        <v>71</v>
      </c>
      <c r="K17" s="111">
        <v>289</v>
      </c>
      <c r="L17" s="112">
        <v>289</v>
      </c>
      <c r="M17" s="111"/>
      <c r="N17" s="111"/>
      <c r="O17" s="111"/>
      <c r="P17" s="113">
        <f t="shared" si="0"/>
        <v>268.77</v>
      </c>
      <c r="Q17" s="95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customHeight="1" spans="1:28">
      <c r="A18" s="95" t="s">
        <v>18</v>
      </c>
      <c r="B18" s="97" t="s">
        <v>72</v>
      </c>
      <c r="C18" s="97" t="s">
        <v>26</v>
      </c>
      <c r="D18" s="97" t="s">
        <v>73</v>
      </c>
      <c r="E18" s="97" t="s">
        <v>74</v>
      </c>
      <c r="F18" s="97" t="s">
        <v>75</v>
      </c>
      <c r="G18" s="98">
        <v>45673</v>
      </c>
      <c r="H18" s="99"/>
      <c r="I18" s="99"/>
      <c r="J18" s="110" t="s">
        <v>24</v>
      </c>
      <c r="K18" s="114">
        <v>500</v>
      </c>
      <c r="L18" s="112"/>
      <c r="M18" s="111"/>
      <c r="N18" s="111"/>
      <c r="O18" s="111"/>
      <c r="P18" s="113">
        <f t="shared" si="0"/>
        <v>500</v>
      </c>
      <c r="Q18" s="95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customHeight="1" spans="1:28">
      <c r="A19" s="95" t="s">
        <v>18</v>
      </c>
      <c r="B19" s="95" t="s">
        <v>76</v>
      </c>
      <c r="C19" s="95" t="s">
        <v>26</v>
      </c>
      <c r="D19" s="95" t="s">
        <v>27</v>
      </c>
      <c r="E19" s="95" t="s">
        <v>77</v>
      </c>
      <c r="F19" s="95" t="s">
        <v>78</v>
      </c>
      <c r="G19" s="98">
        <v>45684</v>
      </c>
      <c r="H19" s="100">
        <v>45686</v>
      </c>
      <c r="I19" s="100">
        <v>45686</v>
      </c>
      <c r="J19" s="110" t="s">
        <v>24</v>
      </c>
      <c r="K19" s="114">
        <v>24500</v>
      </c>
      <c r="L19" s="112"/>
      <c r="M19" s="111"/>
      <c r="N19" s="111"/>
      <c r="O19" s="111"/>
      <c r="P19" s="113">
        <f t="shared" si="0"/>
        <v>24500</v>
      </c>
      <c r="Q19" s="95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customHeight="1" spans="1:28">
      <c r="A20" s="95" t="s">
        <v>18</v>
      </c>
      <c r="B20" s="97" t="s">
        <v>79</v>
      </c>
      <c r="C20" s="97" t="s">
        <v>67</v>
      </c>
      <c r="D20" s="97" t="s">
        <v>68</v>
      </c>
      <c r="E20" s="97" t="s">
        <v>80</v>
      </c>
      <c r="F20" s="97" t="s">
        <v>81</v>
      </c>
      <c r="G20" s="98">
        <v>45717</v>
      </c>
      <c r="H20" s="98">
        <v>45717</v>
      </c>
      <c r="I20" s="98">
        <v>45717</v>
      </c>
      <c r="J20" s="115" t="s">
        <v>24</v>
      </c>
      <c r="K20" s="111">
        <v>6142</v>
      </c>
      <c r="L20" s="112">
        <v>6150</v>
      </c>
      <c r="M20" s="111">
        <v>6712</v>
      </c>
      <c r="N20" s="111"/>
      <c r="O20" s="111"/>
      <c r="P20" s="113">
        <f t="shared" si="0"/>
        <v>6712</v>
      </c>
      <c r="Q20" s="95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customHeight="1" spans="1:28">
      <c r="A21" s="95" t="s">
        <v>18</v>
      </c>
      <c r="B21" s="97" t="s">
        <v>82</v>
      </c>
      <c r="C21" s="97" t="s">
        <v>26</v>
      </c>
      <c r="D21" s="97" t="s">
        <v>83</v>
      </c>
      <c r="E21" s="97" t="s">
        <v>84</v>
      </c>
      <c r="F21" s="97" t="s">
        <v>85</v>
      </c>
      <c r="G21" s="98">
        <v>45678</v>
      </c>
      <c r="H21" s="98">
        <v>45678</v>
      </c>
      <c r="I21" s="98">
        <v>45678</v>
      </c>
      <c r="J21" s="110" t="s">
        <v>50</v>
      </c>
      <c r="K21" s="111">
        <v>285000</v>
      </c>
      <c r="L21" s="112"/>
      <c r="M21" s="111"/>
      <c r="N21" s="111"/>
      <c r="O21" s="111"/>
      <c r="P21" s="113">
        <f t="shared" si="0"/>
        <v>6840</v>
      </c>
      <c r="Q21" s="95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customHeight="1" spans="1:28">
      <c r="A22" s="95" t="s">
        <v>18</v>
      </c>
      <c r="B22" s="97" t="s">
        <v>86</v>
      </c>
      <c r="C22" s="97" t="s">
        <v>26</v>
      </c>
      <c r="D22" s="97" t="s">
        <v>39</v>
      </c>
      <c r="E22" s="97" t="s">
        <v>40</v>
      </c>
      <c r="F22" s="97" t="s">
        <v>87</v>
      </c>
      <c r="G22" s="98">
        <v>45679</v>
      </c>
      <c r="H22" s="98">
        <v>45705</v>
      </c>
      <c r="I22" s="98">
        <v>45705</v>
      </c>
      <c r="J22" s="110" t="s">
        <v>50</v>
      </c>
      <c r="K22" s="111">
        <v>214200</v>
      </c>
      <c r="L22" s="112"/>
      <c r="M22" s="111"/>
      <c r="N22" s="111"/>
      <c r="O22" s="111"/>
      <c r="P22" s="113">
        <f t="shared" si="0"/>
        <v>5140.8</v>
      </c>
      <c r="Q22" s="95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customHeight="1" spans="1:28">
      <c r="A23" s="95" t="s">
        <v>18</v>
      </c>
      <c r="B23" s="97" t="s">
        <v>88</v>
      </c>
      <c r="C23" s="97" t="s">
        <v>89</v>
      </c>
      <c r="D23" s="97" t="s">
        <v>39</v>
      </c>
      <c r="E23" s="97" t="s">
        <v>40</v>
      </c>
      <c r="F23" s="97" t="s">
        <v>90</v>
      </c>
      <c r="G23" s="98">
        <v>45681</v>
      </c>
      <c r="H23" s="98">
        <v>45681</v>
      </c>
      <c r="I23" s="98">
        <v>45681</v>
      </c>
      <c r="J23" s="115" t="s">
        <v>50</v>
      </c>
      <c r="K23" s="111">
        <v>534000</v>
      </c>
      <c r="L23" s="112"/>
      <c r="M23" s="111"/>
      <c r="N23" s="111"/>
      <c r="O23" s="111"/>
      <c r="P23" s="113">
        <f t="shared" si="0"/>
        <v>12816</v>
      </c>
      <c r="Q23" s="95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customHeight="1" spans="1:28">
      <c r="A24" s="95" t="s">
        <v>18</v>
      </c>
      <c r="B24" s="97" t="s">
        <v>91</v>
      </c>
      <c r="C24" s="97" t="s">
        <v>26</v>
      </c>
      <c r="D24" s="97" t="s">
        <v>92</v>
      </c>
      <c r="E24" s="101" t="s">
        <v>93</v>
      </c>
      <c r="F24" s="97" t="s">
        <v>94</v>
      </c>
      <c r="G24" s="98">
        <v>45691</v>
      </c>
      <c r="H24" s="98"/>
      <c r="I24" s="98"/>
      <c r="J24" s="110" t="s">
        <v>50</v>
      </c>
      <c r="K24" s="115">
        <v>850</v>
      </c>
      <c r="L24" s="112"/>
      <c r="M24" s="111"/>
      <c r="N24" s="111"/>
      <c r="O24" s="111"/>
      <c r="P24" s="113">
        <f t="shared" si="0"/>
        <v>20.4</v>
      </c>
      <c r="Q24" s="95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customHeight="1" spans="1:28">
      <c r="A25" s="95" t="s">
        <v>18</v>
      </c>
      <c r="B25" s="97" t="s">
        <v>95</v>
      </c>
      <c r="C25" s="97" t="s">
        <v>67</v>
      </c>
      <c r="D25" s="97" t="s">
        <v>96</v>
      </c>
      <c r="E25" s="101" t="s">
        <v>97</v>
      </c>
      <c r="F25" s="97" t="s">
        <v>94</v>
      </c>
      <c r="G25" s="98">
        <v>45691</v>
      </c>
      <c r="H25" s="98">
        <v>45691</v>
      </c>
      <c r="I25" s="98">
        <v>45691</v>
      </c>
      <c r="J25" s="115" t="s">
        <v>24</v>
      </c>
      <c r="K25" s="111">
        <v>46</v>
      </c>
      <c r="L25" s="112"/>
      <c r="M25" s="111"/>
      <c r="N25" s="111"/>
      <c r="O25" s="111"/>
      <c r="P25" s="113">
        <f t="shared" si="0"/>
        <v>46</v>
      </c>
      <c r="Q25" s="95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customHeight="1" spans="1:28">
      <c r="A26" s="95" t="s">
        <v>18</v>
      </c>
      <c r="B26" s="102" t="s">
        <v>98</v>
      </c>
      <c r="C26" s="97" t="s">
        <v>67</v>
      </c>
      <c r="D26" s="97" t="s">
        <v>99</v>
      </c>
      <c r="E26" s="101" t="s">
        <v>100</v>
      </c>
      <c r="F26" s="97" t="s">
        <v>94</v>
      </c>
      <c r="G26" s="98">
        <v>45708</v>
      </c>
      <c r="H26" s="98">
        <v>45712</v>
      </c>
      <c r="I26" s="98">
        <v>45712</v>
      </c>
      <c r="J26" s="110" t="s">
        <v>50</v>
      </c>
      <c r="K26" s="111">
        <v>11000</v>
      </c>
      <c r="L26" s="112"/>
      <c r="M26" s="111"/>
      <c r="N26" s="111"/>
      <c r="O26" s="111"/>
      <c r="P26" s="113">
        <f t="shared" si="0"/>
        <v>264</v>
      </c>
      <c r="Q26" s="95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customHeight="1" spans="1:28">
      <c r="A27" s="95" t="s">
        <v>18</v>
      </c>
      <c r="B27" s="95" t="s">
        <v>101</v>
      </c>
      <c r="C27" s="95" t="s">
        <v>67</v>
      </c>
      <c r="D27" s="95" t="s">
        <v>102</v>
      </c>
      <c r="E27" s="103" t="s">
        <v>103</v>
      </c>
      <c r="F27" s="95" t="s">
        <v>104</v>
      </c>
      <c r="G27" s="99">
        <v>45699</v>
      </c>
      <c r="H27" s="98">
        <v>45700</v>
      </c>
      <c r="I27" s="98">
        <v>45700</v>
      </c>
      <c r="J27" s="115" t="s">
        <v>24</v>
      </c>
      <c r="K27" s="111">
        <v>34000</v>
      </c>
      <c r="L27" s="112">
        <v>31000</v>
      </c>
      <c r="M27" s="111"/>
      <c r="N27" s="111"/>
      <c r="O27" s="111"/>
      <c r="P27" s="113">
        <f t="shared" si="0"/>
        <v>31000</v>
      </c>
      <c r="Q27" s="95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customHeight="1" spans="1:28">
      <c r="A28" s="95" t="s">
        <v>18</v>
      </c>
      <c r="B28" s="95" t="s">
        <v>105</v>
      </c>
      <c r="C28" s="95" t="s">
        <v>67</v>
      </c>
      <c r="D28" s="95" t="s">
        <v>27</v>
      </c>
      <c r="E28" s="103" t="s">
        <v>106</v>
      </c>
      <c r="F28" s="104" t="s">
        <v>107</v>
      </c>
      <c r="G28" s="99">
        <v>45700</v>
      </c>
      <c r="H28" s="99">
        <v>45700</v>
      </c>
      <c r="I28" s="99">
        <v>45700</v>
      </c>
      <c r="J28" s="115" t="s">
        <v>24</v>
      </c>
      <c r="K28" s="111">
        <v>4950</v>
      </c>
      <c r="L28" s="112">
        <v>3950</v>
      </c>
      <c r="M28" s="111"/>
      <c r="N28" s="111"/>
      <c r="O28" s="111"/>
      <c r="P28" s="113">
        <f t="shared" si="0"/>
        <v>3950</v>
      </c>
      <c r="Q28" s="95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customHeight="1" spans="1:28">
      <c r="A29" s="95" t="s">
        <v>18</v>
      </c>
      <c r="B29" s="95" t="s">
        <v>108</v>
      </c>
      <c r="C29" s="95" t="s">
        <v>67</v>
      </c>
      <c r="D29" s="95" t="s">
        <v>109</v>
      </c>
      <c r="E29" s="101" t="s">
        <v>110</v>
      </c>
      <c r="F29" s="97" t="s">
        <v>111</v>
      </c>
      <c r="G29" s="99">
        <v>45701</v>
      </c>
      <c r="H29" s="99">
        <v>45701</v>
      </c>
      <c r="I29" s="99">
        <v>45719</v>
      </c>
      <c r="J29" s="115" t="s">
        <v>24</v>
      </c>
      <c r="K29" s="111">
        <v>3500</v>
      </c>
      <c r="L29" s="112">
        <v>3000</v>
      </c>
      <c r="M29" s="111"/>
      <c r="N29" s="111"/>
      <c r="O29" s="111"/>
      <c r="P29" s="113">
        <f t="shared" si="0"/>
        <v>3000</v>
      </c>
      <c r="Q29" s="95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customHeight="1" spans="1:28">
      <c r="A30" s="95" t="s">
        <v>18</v>
      </c>
      <c r="B30" s="105" t="s">
        <v>112</v>
      </c>
      <c r="C30" s="95" t="s">
        <v>113</v>
      </c>
      <c r="D30" s="95" t="s">
        <v>61</v>
      </c>
      <c r="E30" s="103" t="s">
        <v>114</v>
      </c>
      <c r="F30" s="95" t="s">
        <v>115</v>
      </c>
      <c r="G30" s="99">
        <v>45700</v>
      </c>
      <c r="H30" s="98">
        <v>45734</v>
      </c>
      <c r="I30" s="98">
        <v>45734</v>
      </c>
      <c r="J30" s="115" t="s">
        <v>24</v>
      </c>
      <c r="K30" s="111">
        <v>176775</v>
      </c>
      <c r="L30" s="112"/>
      <c r="M30" s="111"/>
      <c r="N30" s="111"/>
      <c r="O30" s="111"/>
      <c r="P30" s="113">
        <f t="shared" si="0"/>
        <v>176775</v>
      </c>
      <c r="Q30" s="95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customHeight="1" spans="1:28">
      <c r="A31" s="95" t="s">
        <v>18</v>
      </c>
      <c r="B31" s="95" t="s">
        <v>116</v>
      </c>
      <c r="C31" s="95" t="s">
        <v>20</v>
      </c>
      <c r="D31" s="97" t="s">
        <v>117</v>
      </c>
      <c r="E31" s="103" t="s">
        <v>118</v>
      </c>
      <c r="F31" s="95" t="s">
        <v>119</v>
      </c>
      <c r="G31" s="99">
        <v>45707</v>
      </c>
      <c r="H31" s="99">
        <v>45707</v>
      </c>
      <c r="I31" s="99">
        <v>45708</v>
      </c>
      <c r="J31" s="115" t="s">
        <v>24</v>
      </c>
      <c r="K31" s="111">
        <v>4500</v>
      </c>
      <c r="L31" s="112">
        <v>4400</v>
      </c>
      <c r="M31" s="111"/>
      <c r="N31" s="111"/>
      <c r="O31" s="111"/>
      <c r="P31" s="113">
        <f t="shared" si="0"/>
        <v>4400</v>
      </c>
      <c r="Q31" s="95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customHeight="1" spans="1:28">
      <c r="A32" s="95" t="s">
        <v>18</v>
      </c>
      <c r="B32" s="102" t="s">
        <v>120</v>
      </c>
      <c r="C32" s="95" t="s">
        <v>67</v>
      </c>
      <c r="D32" s="95" t="s">
        <v>121</v>
      </c>
      <c r="E32" s="103" t="s">
        <v>122</v>
      </c>
      <c r="F32" s="95" t="s">
        <v>123</v>
      </c>
      <c r="G32" s="99">
        <v>45698</v>
      </c>
      <c r="H32" s="99">
        <v>45707</v>
      </c>
      <c r="I32" s="116">
        <v>45712</v>
      </c>
      <c r="J32" s="115" t="s">
        <v>24</v>
      </c>
      <c r="K32" s="111">
        <v>42151</v>
      </c>
      <c r="L32" s="112">
        <v>36000</v>
      </c>
      <c r="M32" s="111"/>
      <c r="N32" s="111"/>
      <c r="O32" s="111"/>
      <c r="P32" s="113">
        <f t="shared" si="0"/>
        <v>36000</v>
      </c>
      <c r="Q32" s="95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customHeight="1" spans="1:28">
      <c r="A33" s="95" t="s">
        <v>18</v>
      </c>
      <c r="B33" s="95" t="s">
        <v>124</v>
      </c>
      <c r="C33" s="95" t="s">
        <v>125</v>
      </c>
      <c r="D33" s="95" t="s">
        <v>126</v>
      </c>
      <c r="E33" s="103" t="s">
        <v>127</v>
      </c>
      <c r="F33" s="95" t="s">
        <v>128</v>
      </c>
      <c r="G33" s="99">
        <v>45705</v>
      </c>
      <c r="H33" s="99">
        <v>45710</v>
      </c>
      <c r="I33" s="99">
        <v>45712</v>
      </c>
      <c r="J33" s="115" t="s">
        <v>24</v>
      </c>
      <c r="K33" s="111">
        <v>34000</v>
      </c>
      <c r="L33" s="112"/>
      <c r="M33" s="111"/>
      <c r="N33" s="111"/>
      <c r="O33" s="111"/>
      <c r="P33" s="113">
        <f t="shared" si="0"/>
        <v>34000</v>
      </c>
      <c r="Q33" s="95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customHeight="1" spans="1:28">
      <c r="A34" s="95" t="s">
        <v>18</v>
      </c>
      <c r="B34" s="102" t="s">
        <v>129</v>
      </c>
      <c r="C34" s="97" t="s">
        <v>67</v>
      </c>
      <c r="D34" s="97" t="s">
        <v>130</v>
      </c>
      <c r="E34" s="106" t="s">
        <v>131</v>
      </c>
      <c r="F34" s="97" t="s">
        <v>132</v>
      </c>
      <c r="G34" s="98">
        <v>45713</v>
      </c>
      <c r="H34" s="98">
        <v>45716</v>
      </c>
      <c r="I34" s="98">
        <v>45716</v>
      </c>
      <c r="J34" s="115" t="s">
        <v>24</v>
      </c>
      <c r="K34" s="111">
        <v>31248</v>
      </c>
      <c r="L34" s="112"/>
      <c r="M34" s="111"/>
      <c r="N34" s="111"/>
      <c r="O34" s="111"/>
      <c r="P34" s="113">
        <f t="shared" si="0"/>
        <v>31248</v>
      </c>
      <c r="Q34" s="95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customHeight="1" spans="1:28">
      <c r="A35" s="95" t="s">
        <v>18</v>
      </c>
      <c r="B35" s="97" t="s">
        <v>133</v>
      </c>
      <c r="C35" s="97" t="s">
        <v>67</v>
      </c>
      <c r="D35" s="97" t="s">
        <v>134</v>
      </c>
      <c r="E35" s="106" t="s">
        <v>135</v>
      </c>
      <c r="F35" s="97" t="s">
        <v>136</v>
      </c>
      <c r="G35" s="98">
        <v>45709</v>
      </c>
      <c r="H35" s="98">
        <v>45720</v>
      </c>
      <c r="I35" s="98">
        <v>45720</v>
      </c>
      <c r="J35" s="115" t="s">
        <v>24</v>
      </c>
      <c r="K35" s="111">
        <v>3400</v>
      </c>
      <c r="L35" s="112"/>
      <c r="M35" s="111"/>
      <c r="N35" s="111"/>
      <c r="O35" s="111"/>
      <c r="P35" s="113">
        <f t="shared" si="0"/>
        <v>3400</v>
      </c>
      <c r="Q35" s="118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customHeight="1" spans="1:28">
      <c r="A36" s="95" t="s">
        <v>18</v>
      </c>
      <c r="B36" s="97" t="s">
        <v>137</v>
      </c>
      <c r="C36" s="97" t="s">
        <v>67</v>
      </c>
      <c r="D36" s="97" t="s">
        <v>138</v>
      </c>
      <c r="E36" s="106" t="s">
        <v>139</v>
      </c>
      <c r="F36" s="97" t="s">
        <v>140</v>
      </c>
      <c r="G36" s="98">
        <v>45714</v>
      </c>
      <c r="H36" s="98">
        <v>45864</v>
      </c>
      <c r="I36" s="98">
        <v>45772</v>
      </c>
      <c r="J36" s="115" t="s">
        <v>24</v>
      </c>
      <c r="K36" s="111">
        <v>1250000</v>
      </c>
      <c r="L36" s="112">
        <v>838750</v>
      </c>
      <c r="M36" s="112">
        <v>653200</v>
      </c>
      <c r="N36" s="112">
        <v>570000</v>
      </c>
      <c r="O36" s="112"/>
      <c r="P36" s="113">
        <f t="shared" si="0"/>
        <v>570000</v>
      </c>
      <c r="Q36" s="118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customHeight="1" spans="1:28">
      <c r="A37" s="95" t="s">
        <v>18</v>
      </c>
      <c r="B37" s="97" t="s">
        <v>141</v>
      </c>
      <c r="C37" s="97" t="s">
        <v>89</v>
      </c>
      <c r="D37" s="97" t="s">
        <v>92</v>
      </c>
      <c r="E37" s="106" t="s">
        <v>40</v>
      </c>
      <c r="F37" s="97" t="s">
        <v>142</v>
      </c>
      <c r="G37" s="98">
        <v>45719</v>
      </c>
      <c r="H37" s="98">
        <v>45719</v>
      </c>
      <c r="I37" s="98">
        <v>45719</v>
      </c>
      <c r="J37" s="110" t="s">
        <v>50</v>
      </c>
      <c r="K37" s="111">
        <v>91800</v>
      </c>
      <c r="L37" s="112"/>
      <c r="M37" s="111"/>
      <c r="N37" s="111"/>
      <c r="O37" s="111"/>
      <c r="P37" s="113">
        <f t="shared" si="0"/>
        <v>2203.2</v>
      </c>
      <c r="Q37" s="118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customHeight="1" spans="1:28">
      <c r="A38" s="95" t="s">
        <v>18</v>
      </c>
      <c r="B38" s="97" t="s">
        <v>143</v>
      </c>
      <c r="C38" s="97" t="s">
        <v>67</v>
      </c>
      <c r="D38" s="97" t="s">
        <v>68</v>
      </c>
      <c r="E38" s="106" t="s">
        <v>144</v>
      </c>
      <c r="F38" s="97" t="s">
        <v>145</v>
      </c>
      <c r="G38" s="98">
        <v>45715</v>
      </c>
      <c r="H38" s="98">
        <v>45720</v>
      </c>
      <c r="I38" s="98">
        <v>45720</v>
      </c>
      <c r="J38" s="115" t="s">
        <v>24</v>
      </c>
      <c r="K38" s="112">
        <v>4925</v>
      </c>
      <c r="L38" s="112">
        <v>6150</v>
      </c>
      <c r="M38" s="111"/>
      <c r="N38" s="111"/>
      <c r="O38" s="111"/>
      <c r="P38" s="113">
        <f t="shared" si="0"/>
        <v>6150</v>
      </c>
      <c r="Q38" s="118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customHeight="1" spans="1:28">
      <c r="A39" s="95" t="s">
        <v>18</v>
      </c>
      <c r="B39" s="97" t="s">
        <v>146</v>
      </c>
      <c r="C39" s="97" t="s">
        <v>113</v>
      </c>
      <c r="D39" s="97" t="s">
        <v>35</v>
      </c>
      <c r="E39" s="106" t="s">
        <v>147</v>
      </c>
      <c r="F39" s="97" t="s">
        <v>148</v>
      </c>
      <c r="G39" s="98">
        <v>45707</v>
      </c>
      <c r="H39" s="98">
        <v>45756</v>
      </c>
      <c r="I39" s="98">
        <v>45756</v>
      </c>
      <c r="J39" s="115" t="s">
        <v>24</v>
      </c>
      <c r="K39" s="111">
        <v>135000</v>
      </c>
      <c r="L39" s="112">
        <v>120000</v>
      </c>
      <c r="M39" s="111">
        <v>96000</v>
      </c>
      <c r="N39" s="111">
        <v>15000</v>
      </c>
      <c r="O39" s="111"/>
      <c r="P39" s="113">
        <f t="shared" si="0"/>
        <v>15000</v>
      </c>
      <c r="Q39" s="118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customHeight="1" spans="1:28">
      <c r="A40" s="95" t="s">
        <v>18</v>
      </c>
      <c r="B40" s="97" t="s">
        <v>149</v>
      </c>
      <c r="C40" s="97" t="s">
        <v>67</v>
      </c>
      <c r="D40" s="97" t="s">
        <v>150</v>
      </c>
      <c r="E40" s="106" t="s">
        <v>151</v>
      </c>
      <c r="F40" s="97" t="s">
        <v>152</v>
      </c>
      <c r="G40" s="98">
        <v>45751</v>
      </c>
      <c r="H40" s="98">
        <v>45762</v>
      </c>
      <c r="I40" s="98">
        <v>45771</v>
      </c>
      <c r="J40" s="115" t="s">
        <v>24</v>
      </c>
      <c r="K40" s="111">
        <v>496582.85</v>
      </c>
      <c r="L40" s="112">
        <v>567575</v>
      </c>
      <c r="M40" s="111">
        <v>465000</v>
      </c>
      <c r="N40" s="111"/>
      <c r="O40" s="111"/>
      <c r="P40" s="113">
        <f t="shared" si="0"/>
        <v>465000</v>
      </c>
      <c r="Q40" s="118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customHeight="1" spans="1:28">
      <c r="A41" s="95" t="s">
        <v>18</v>
      </c>
      <c r="B41" s="97" t="s">
        <v>153</v>
      </c>
      <c r="C41" s="97" t="s">
        <v>154</v>
      </c>
      <c r="D41" s="97" t="s">
        <v>27</v>
      </c>
      <c r="E41" s="106" t="s">
        <v>77</v>
      </c>
      <c r="F41" s="97" t="s">
        <v>155</v>
      </c>
      <c r="G41" s="98">
        <v>45650</v>
      </c>
      <c r="H41" s="98">
        <v>45674</v>
      </c>
      <c r="I41" s="98">
        <v>45652</v>
      </c>
      <c r="J41" s="115" t="s">
        <v>24</v>
      </c>
      <c r="K41" s="111">
        <v>28990</v>
      </c>
      <c r="L41" s="112"/>
      <c r="M41" s="111"/>
      <c r="N41" s="111"/>
      <c r="O41" s="111"/>
      <c r="P41" s="113">
        <f t="shared" si="0"/>
        <v>28990</v>
      </c>
      <c r="Q41" s="118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customHeight="1" spans="1:28">
      <c r="A42" s="95" t="s">
        <v>18</v>
      </c>
      <c r="B42" s="97" t="s">
        <v>156</v>
      </c>
      <c r="C42" s="97" t="s">
        <v>113</v>
      </c>
      <c r="D42" s="97" t="s">
        <v>157</v>
      </c>
      <c r="E42" s="97" t="s">
        <v>158</v>
      </c>
      <c r="F42" s="97" t="s">
        <v>159</v>
      </c>
      <c r="G42" s="98"/>
      <c r="H42" s="98">
        <v>45579</v>
      </c>
      <c r="I42" s="98">
        <v>45579</v>
      </c>
      <c r="J42" s="115" t="s">
        <v>24</v>
      </c>
      <c r="K42" s="111">
        <v>321000</v>
      </c>
      <c r="L42" s="112"/>
      <c r="M42" s="111"/>
      <c r="N42" s="111"/>
      <c r="O42" s="111"/>
      <c r="P42" s="113">
        <f t="shared" si="0"/>
        <v>321000</v>
      </c>
      <c r="Q42" s="118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customHeight="1" spans="1:28">
      <c r="A43" s="95" t="s">
        <v>18</v>
      </c>
      <c r="B43" s="97" t="s">
        <v>160</v>
      </c>
      <c r="C43" s="97" t="s">
        <v>113</v>
      </c>
      <c r="D43" s="97" t="s">
        <v>161</v>
      </c>
      <c r="E43" s="106" t="s">
        <v>162</v>
      </c>
      <c r="F43" s="97"/>
      <c r="G43" s="98">
        <v>45699</v>
      </c>
      <c r="H43" s="98">
        <v>45705</v>
      </c>
      <c r="I43" s="98">
        <v>45548</v>
      </c>
      <c r="J43" s="115" t="s">
        <v>24</v>
      </c>
      <c r="K43" s="111">
        <v>274000</v>
      </c>
      <c r="L43" s="112"/>
      <c r="M43" s="111"/>
      <c r="N43" s="111"/>
      <c r="O43" s="111"/>
      <c r="P43" s="113">
        <f t="shared" si="0"/>
        <v>274000</v>
      </c>
      <c r="Q43" s="118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customHeight="1" spans="1:28">
      <c r="A44" s="95" t="s">
        <v>18</v>
      </c>
      <c r="B44" s="97" t="s">
        <v>163</v>
      </c>
      <c r="C44" s="97" t="s">
        <v>113</v>
      </c>
      <c r="D44" s="97" t="s">
        <v>164</v>
      </c>
      <c r="E44" s="106" t="s">
        <v>165</v>
      </c>
      <c r="F44" s="97" t="s">
        <v>166</v>
      </c>
      <c r="G44" s="98"/>
      <c r="H44" s="98"/>
      <c r="I44" s="98"/>
      <c r="J44" s="115" t="s">
        <v>24</v>
      </c>
      <c r="K44" s="111">
        <v>8816</v>
      </c>
      <c r="L44" s="112"/>
      <c r="M44" s="111"/>
      <c r="N44" s="111"/>
      <c r="O44" s="111"/>
      <c r="P44" s="113">
        <f t="shared" si="0"/>
        <v>8816</v>
      </c>
      <c r="Q44" s="118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customHeight="1" spans="1:28">
      <c r="A45" s="95" t="s">
        <v>18</v>
      </c>
      <c r="B45" s="97" t="s">
        <v>167</v>
      </c>
      <c r="C45" s="97" t="s">
        <v>67</v>
      </c>
      <c r="D45" s="97" t="s">
        <v>168</v>
      </c>
      <c r="E45" s="97" t="s">
        <v>147</v>
      </c>
      <c r="F45" s="97" t="s">
        <v>169</v>
      </c>
      <c r="G45" s="98">
        <v>45722</v>
      </c>
      <c r="H45" s="98">
        <v>45734</v>
      </c>
      <c r="I45" s="98">
        <v>45734</v>
      </c>
      <c r="J45" s="115" t="s">
        <v>24</v>
      </c>
      <c r="K45" s="111">
        <v>120000</v>
      </c>
      <c r="L45" s="112">
        <v>15000</v>
      </c>
      <c r="M45" s="111"/>
      <c r="N45" s="111"/>
      <c r="O45" s="111"/>
      <c r="P45" s="113">
        <f t="shared" si="0"/>
        <v>15000</v>
      </c>
      <c r="Q45" s="118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customHeight="1" spans="1:28">
      <c r="A46" s="95" t="s">
        <v>18</v>
      </c>
      <c r="B46" s="97" t="s">
        <v>170</v>
      </c>
      <c r="C46" s="97" t="s">
        <v>20</v>
      </c>
      <c r="D46" s="97" t="s">
        <v>117</v>
      </c>
      <c r="E46" s="97" t="s">
        <v>171</v>
      </c>
      <c r="F46" s="97" t="s">
        <v>172</v>
      </c>
      <c r="G46" s="98">
        <v>45722</v>
      </c>
      <c r="H46" s="98">
        <v>45722</v>
      </c>
      <c r="I46" s="98">
        <v>45722</v>
      </c>
      <c r="J46" s="115" t="s">
        <v>24</v>
      </c>
      <c r="K46" s="111">
        <v>850</v>
      </c>
      <c r="L46" s="112"/>
      <c r="M46" s="111"/>
      <c r="N46" s="111"/>
      <c r="O46" s="111"/>
      <c r="P46" s="113">
        <f t="shared" si="0"/>
        <v>850</v>
      </c>
      <c r="Q46" s="118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customHeight="1" spans="1:28">
      <c r="A47" s="95" t="s">
        <v>18</v>
      </c>
      <c r="B47" s="97" t="s">
        <v>173</v>
      </c>
      <c r="C47" s="97" t="s">
        <v>20</v>
      </c>
      <c r="D47" s="97" t="s">
        <v>174</v>
      </c>
      <c r="E47" s="97" t="s">
        <v>175</v>
      </c>
      <c r="F47" s="97" t="s">
        <v>176</v>
      </c>
      <c r="G47" s="98">
        <v>45722</v>
      </c>
      <c r="H47" s="98">
        <v>45722</v>
      </c>
      <c r="I47" s="98">
        <v>45722</v>
      </c>
      <c r="J47" s="115" t="s">
        <v>24</v>
      </c>
      <c r="K47" s="111">
        <v>2240</v>
      </c>
      <c r="L47" s="112"/>
      <c r="M47" s="111"/>
      <c r="N47" s="111"/>
      <c r="O47" s="111"/>
      <c r="P47" s="113">
        <f t="shared" si="0"/>
        <v>2240</v>
      </c>
      <c r="Q47" s="118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customHeight="1" spans="1:28">
      <c r="A48" s="95" t="s">
        <v>18</v>
      </c>
      <c r="B48" s="97" t="s">
        <v>177</v>
      </c>
      <c r="C48" s="97" t="s">
        <v>20</v>
      </c>
      <c r="D48" s="97" t="s">
        <v>117</v>
      </c>
      <c r="E48" s="97" t="s">
        <v>118</v>
      </c>
      <c r="F48" s="107" t="s">
        <v>178</v>
      </c>
      <c r="G48" s="98">
        <v>45724</v>
      </c>
      <c r="H48" s="98">
        <v>45724</v>
      </c>
      <c r="I48" s="98">
        <v>45724</v>
      </c>
      <c r="J48" s="115" t="s">
        <v>24</v>
      </c>
      <c r="K48" s="111">
        <v>1350</v>
      </c>
      <c r="L48" s="112">
        <v>1200</v>
      </c>
      <c r="M48" s="111"/>
      <c r="N48" s="111"/>
      <c r="O48" s="111"/>
      <c r="P48" s="113">
        <f t="shared" si="0"/>
        <v>1200</v>
      </c>
      <c r="Q48" s="118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customHeight="1" spans="1:28">
      <c r="A49" s="95" t="s">
        <v>18</v>
      </c>
      <c r="B49" s="97" t="s">
        <v>179</v>
      </c>
      <c r="C49" s="97" t="s">
        <v>89</v>
      </c>
      <c r="D49" s="97" t="s">
        <v>180</v>
      </c>
      <c r="E49" s="97" t="s">
        <v>158</v>
      </c>
      <c r="F49" s="97" t="s">
        <v>181</v>
      </c>
      <c r="G49" s="98">
        <v>45726</v>
      </c>
      <c r="H49" s="98">
        <v>45726</v>
      </c>
      <c r="I49" s="98">
        <v>45726</v>
      </c>
      <c r="J49" s="115" t="s">
        <v>24</v>
      </c>
      <c r="K49" s="111">
        <v>28080</v>
      </c>
      <c r="L49" s="112">
        <v>19872</v>
      </c>
      <c r="M49" s="111">
        <v>11800</v>
      </c>
      <c r="N49" s="111"/>
      <c r="O49" s="111"/>
      <c r="P49" s="113">
        <f t="shared" si="0"/>
        <v>11800</v>
      </c>
      <c r="Q49" s="118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14.25" customHeight="1" spans="1:28">
      <c r="A50" s="95" t="s">
        <v>18</v>
      </c>
      <c r="B50" s="95" t="s">
        <v>182</v>
      </c>
      <c r="C50" s="97" t="s">
        <v>89</v>
      </c>
      <c r="D50" s="97" t="s">
        <v>134</v>
      </c>
      <c r="E50" s="97" t="s">
        <v>183</v>
      </c>
      <c r="F50" s="97" t="s">
        <v>184</v>
      </c>
      <c r="G50" s="98">
        <v>45726</v>
      </c>
      <c r="H50" s="98">
        <v>45726</v>
      </c>
      <c r="I50" s="98">
        <v>45726</v>
      </c>
      <c r="J50" s="115" t="s">
        <v>24</v>
      </c>
      <c r="K50" s="111">
        <v>3000</v>
      </c>
      <c r="L50" s="112"/>
      <c r="M50" s="111"/>
      <c r="N50" s="111"/>
      <c r="O50" s="111"/>
      <c r="P50" s="113">
        <f t="shared" si="0"/>
        <v>3000</v>
      </c>
      <c r="Q50" s="118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ht="14.25" customHeight="1" spans="1:28">
      <c r="A51" s="95" t="s">
        <v>18</v>
      </c>
      <c r="B51" s="97" t="s">
        <v>185</v>
      </c>
      <c r="C51" s="97" t="s">
        <v>20</v>
      </c>
      <c r="D51" s="97" t="s">
        <v>27</v>
      </c>
      <c r="E51" s="97" t="s">
        <v>186</v>
      </c>
      <c r="F51" s="97" t="s">
        <v>187</v>
      </c>
      <c r="G51" s="98">
        <v>45736</v>
      </c>
      <c r="H51" s="98">
        <v>45737</v>
      </c>
      <c r="I51" s="98">
        <v>45737</v>
      </c>
      <c r="J51" s="115" t="s">
        <v>24</v>
      </c>
      <c r="K51" s="111">
        <v>4750</v>
      </c>
      <c r="L51" s="112"/>
      <c r="M51" s="111"/>
      <c r="N51" s="111"/>
      <c r="O51" s="111"/>
      <c r="P51" s="113">
        <f t="shared" si="0"/>
        <v>4750</v>
      </c>
      <c r="Q51" s="118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ht="14.25" customHeight="1" spans="1:28">
      <c r="A52" s="95" t="s">
        <v>18</v>
      </c>
      <c r="B52" s="97" t="s">
        <v>188</v>
      </c>
      <c r="C52" s="97" t="s">
        <v>67</v>
      </c>
      <c r="D52" s="97" t="s">
        <v>73</v>
      </c>
      <c r="E52" s="97" t="s">
        <v>189</v>
      </c>
      <c r="F52" s="97" t="s">
        <v>142</v>
      </c>
      <c r="G52" s="98">
        <v>45735</v>
      </c>
      <c r="H52" s="98">
        <v>45737</v>
      </c>
      <c r="I52" s="98">
        <v>45737</v>
      </c>
      <c r="J52" s="115" t="s">
        <v>24</v>
      </c>
      <c r="K52" s="111">
        <v>1675</v>
      </c>
      <c r="L52" s="112"/>
      <c r="M52" s="111"/>
      <c r="N52" s="111"/>
      <c r="O52" s="111"/>
      <c r="P52" s="113">
        <f t="shared" si="0"/>
        <v>1675</v>
      </c>
      <c r="Q52" s="118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ht="14.25" customHeight="1" spans="1:28">
      <c r="A53" s="95" t="s">
        <v>18</v>
      </c>
      <c r="B53" s="97" t="s">
        <v>190</v>
      </c>
      <c r="C53" s="97" t="s">
        <v>67</v>
      </c>
      <c r="D53" s="97" t="s">
        <v>191</v>
      </c>
      <c r="E53" s="97" t="s">
        <v>192</v>
      </c>
      <c r="F53" s="97" t="s">
        <v>193</v>
      </c>
      <c r="G53" s="98">
        <v>45741</v>
      </c>
      <c r="H53" s="98">
        <v>45741</v>
      </c>
      <c r="I53" s="98">
        <v>45741</v>
      </c>
      <c r="J53" s="115" t="s">
        <v>24</v>
      </c>
      <c r="K53" s="111">
        <v>4000</v>
      </c>
      <c r="L53" s="112"/>
      <c r="M53" s="111"/>
      <c r="N53" s="111"/>
      <c r="O53" s="111"/>
      <c r="P53" s="113">
        <f t="shared" si="0"/>
        <v>4000</v>
      </c>
      <c r="Q53" s="118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customHeight="1" spans="1:28">
      <c r="A54" s="95" t="s">
        <v>18</v>
      </c>
      <c r="B54" s="97" t="s">
        <v>194</v>
      </c>
      <c r="C54" s="97" t="s">
        <v>67</v>
      </c>
      <c r="D54" s="97" t="s">
        <v>102</v>
      </c>
      <c r="E54" s="97" t="s">
        <v>195</v>
      </c>
      <c r="F54" s="97" t="s">
        <v>196</v>
      </c>
      <c r="G54" s="98">
        <v>45741</v>
      </c>
      <c r="H54" s="98">
        <v>45750</v>
      </c>
      <c r="I54" s="98">
        <v>45756</v>
      </c>
      <c r="J54" s="115" t="s">
        <v>24</v>
      </c>
      <c r="K54" s="111">
        <v>95500</v>
      </c>
      <c r="L54" s="112">
        <v>86000</v>
      </c>
      <c r="M54" s="111"/>
      <c r="N54" s="111"/>
      <c r="O54" s="111"/>
      <c r="P54" s="113">
        <f t="shared" si="0"/>
        <v>86000</v>
      </c>
      <c r="Q54" s="118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ht="14.25" customHeight="1" spans="1:28">
      <c r="A55" s="95" t="s">
        <v>18</v>
      </c>
      <c r="B55" s="97" t="s">
        <v>197</v>
      </c>
      <c r="C55" s="97" t="s">
        <v>198</v>
      </c>
      <c r="D55" s="97" t="s">
        <v>47</v>
      </c>
      <c r="E55" s="97" t="s">
        <v>48</v>
      </c>
      <c r="F55" s="97" t="s">
        <v>199</v>
      </c>
      <c r="G55" s="98">
        <v>45742</v>
      </c>
      <c r="H55" s="98">
        <v>45742</v>
      </c>
      <c r="I55" s="98">
        <v>45742</v>
      </c>
      <c r="J55" s="115" t="s">
        <v>50</v>
      </c>
      <c r="K55" s="117">
        <v>154499.98</v>
      </c>
      <c r="L55" s="112"/>
      <c r="M55" s="111"/>
      <c r="N55" s="111"/>
      <c r="O55" s="111"/>
      <c r="P55" s="113">
        <f t="shared" si="0"/>
        <v>3707.99952</v>
      </c>
      <c r="Q55" s="118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4.25" customHeight="1" spans="1:28">
      <c r="A56" s="95" t="s">
        <v>18</v>
      </c>
      <c r="B56" s="97" t="s">
        <v>200</v>
      </c>
      <c r="C56" s="97" t="s">
        <v>198</v>
      </c>
      <c r="D56" s="97" t="s">
        <v>47</v>
      </c>
      <c r="E56" s="97" t="s">
        <v>48</v>
      </c>
      <c r="F56" s="97" t="s">
        <v>201</v>
      </c>
      <c r="G56" s="98">
        <v>45742</v>
      </c>
      <c r="H56" s="98">
        <v>45742</v>
      </c>
      <c r="I56" s="98">
        <v>45742</v>
      </c>
      <c r="J56" s="115" t="s">
        <v>50</v>
      </c>
      <c r="K56" s="117">
        <v>154499.98</v>
      </c>
      <c r="L56" s="112"/>
      <c r="M56" s="111"/>
      <c r="N56" s="111"/>
      <c r="O56" s="111"/>
      <c r="P56" s="113">
        <f t="shared" si="0"/>
        <v>3707.99952</v>
      </c>
      <c r="Q56" s="118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ht="18.75" customHeight="1" spans="1:28">
      <c r="A57" s="95" t="s">
        <v>18</v>
      </c>
      <c r="B57" s="97" t="s">
        <v>202</v>
      </c>
      <c r="C57" s="97" t="s">
        <v>67</v>
      </c>
      <c r="D57" s="97" t="s">
        <v>126</v>
      </c>
      <c r="E57" s="97" t="s">
        <v>203</v>
      </c>
      <c r="F57" s="97" t="s">
        <v>204</v>
      </c>
      <c r="G57" s="98">
        <v>45742</v>
      </c>
      <c r="H57" s="98">
        <v>45758</v>
      </c>
      <c r="I57" s="98">
        <v>45783</v>
      </c>
      <c r="J57" s="115" t="s">
        <v>24</v>
      </c>
      <c r="K57" s="111">
        <v>424138</v>
      </c>
      <c r="L57" s="112">
        <v>143666</v>
      </c>
      <c r="M57" s="111">
        <v>143666</v>
      </c>
      <c r="N57" s="111">
        <v>140000</v>
      </c>
      <c r="O57" s="111"/>
      <c r="P57" s="113">
        <f t="shared" si="0"/>
        <v>140000</v>
      </c>
      <c r="Q57" s="118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ht="14.25" customHeight="1" spans="1:28">
      <c r="A58" s="95" t="s">
        <v>18</v>
      </c>
      <c r="B58" s="97" t="s">
        <v>205</v>
      </c>
      <c r="C58" s="97" t="s">
        <v>67</v>
      </c>
      <c r="D58" s="97" t="s">
        <v>206</v>
      </c>
      <c r="E58" s="97" t="s">
        <v>207</v>
      </c>
      <c r="F58" s="97" t="s">
        <v>208</v>
      </c>
      <c r="G58" s="98">
        <v>45737</v>
      </c>
      <c r="H58" s="98">
        <v>45743</v>
      </c>
      <c r="I58" s="98">
        <v>45743</v>
      </c>
      <c r="J58" s="115" t="s">
        <v>24</v>
      </c>
      <c r="K58" s="111">
        <v>108000</v>
      </c>
      <c r="L58" s="112">
        <v>57000</v>
      </c>
      <c r="M58" s="111">
        <v>48000</v>
      </c>
      <c r="N58" s="111"/>
      <c r="O58" s="111"/>
      <c r="P58" s="113">
        <f t="shared" si="0"/>
        <v>48000</v>
      </c>
      <c r="Q58" s="118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4.25" customHeight="1" spans="1:28">
      <c r="A59" s="95" t="s">
        <v>18</v>
      </c>
      <c r="B59" s="97" t="s">
        <v>209</v>
      </c>
      <c r="C59" s="97" t="s">
        <v>20</v>
      </c>
      <c r="D59" s="97" t="s">
        <v>117</v>
      </c>
      <c r="E59" s="97" t="s">
        <v>118</v>
      </c>
      <c r="F59" s="97" t="s">
        <v>210</v>
      </c>
      <c r="G59" s="98">
        <v>45744</v>
      </c>
      <c r="H59" s="98">
        <v>45744</v>
      </c>
      <c r="I59" s="98">
        <v>45744</v>
      </c>
      <c r="J59" s="115" t="s">
        <v>24</v>
      </c>
      <c r="K59" s="111">
        <v>2000</v>
      </c>
      <c r="L59" s="112"/>
      <c r="M59" s="111"/>
      <c r="N59" s="111"/>
      <c r="O59" s="111"/>
      <c r="P59" s="113">
        <f t="shared" si="0"/>
        <v>2000</v>
      </c>
      <c r="Q59" s="118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4.25" customHeight="1" spans="1:28">
      <c r="A60" s="95" t="s">
        <v>18</v>
      </c>
      <c r="B60" s="97" t="s">
        <v>211</v>
      </c>
      <c r="C60" s="97" t="s">
        <v>212</v>
      </c>
      <c r="D60" s="97" t="s">
        <v>157</v>
      </c>
      <c r="E60" s="97" t="s">
        <v>213</v>
      </c>
      <c r="F60" s="97" t="s">
        <v>214</v>
      </c>
      <c r="G60" s="98">
        <v>45744</v>
      </c>
      <c r="H60" s="98">
        <v>45744</v>
      </c>
      <c r="I60" s="98">
        <v>45744</v>
      </c>
      <c r="J60" s="115" t="s">
        <v>24</v>
      </c>
      <c r="K60" s="111">
        <v>10949</v>
      </c>
      <c r="L60" s="112"/>
      <c r="M60" s="111"/>
      <c r="N60" s="111"/>
      <c r="O60" s="111"/>
      <c r="P60" s="113">
        <f t="shared" si="0"/>
        <v>10949</v>
      </c>
      <c r="Q60" s="118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4.25" customHeight="1" spans="1:28">
      <c r="A61" s="95" t="s">
        <v>18</v>
      </c>
      <c r="B61" s="97" t="s">
        <v>215</v>
      </c>
      <c r="C61" s="97" t="s">
        <v>20</v>
      </c>
      <c r="D61" s="97" t="s">
        <v>117</v>
      </c>
      <c r="E61" s="97" t="s">
        <v>118</v>
      </c>
      <c r="F61" s="97" t="s">
        <v>216</v>
      </c>
      <c r="G61" s="98">
        <v>45744</v>
      </c>
      <c r="H61" s="98">
        <v>45744</v>
      </c>
      <c r="I61" s="98">
        <v>45744</v>
      </c>
      <c r="J61" s="115" t="s">
        <v>24</v>
      </c>
      <c r="K61" s="111">
        <v>400</v>
      </c>
      <c r="L61" s="112">
        <v>200</v>
      </c>
      <c r="M61" s="111"/>
      <c r="N61" s="111"/>
      <c r="O61" s="111"/>
      <c r="P61" s="113">
        <f t="shared" si="0"/>
        <v>200</v>
      </c>
      <c r="Q61" s="118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4.25" customHeight="1" spans="1:28">
      <c r="A62" s="95" t="s">
        <v>18</v>
      </c>
      <c r="B62" s="97" t="s">
        <v>217</v>
      </c>
      <c r="C62" s="97" t="s">
        <v>67</v>
      </c>
      <c r="D62" s="97" t="s">
        <v>102</v>
      </c>
      <c r="E62" s="97" t="s">
        <v>218</v>
      </c>
      <c r="F62" s="97" t="s">
        <v>219</v>
      </c>
      <c r="G62" s="98">
        <v>45743</v>
      </c>
      <c r="H62" s="98">
        <v>45749</v>
      </c>
      <c r="I62" s="98">
        <v>45744</v>
      </c>
      <c r="J62" s="115" t="s">
        <v>24</v>
      </c>
      <c r="K62" s="111">
        <v>9500</v>
      </c>
      <c r="L62" s="112"/>
      <c r="M62" s="111"/>
      <c r="N62" s="111"/>
      <c r="O62" s="111"/>
      <c r="P62" s="113">
        <f t="shared" si="0"/>
        <v>9500</v>
      </c>
      <c r="Q62" s="118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ht="14.25" customHeight="1" spans="1:28">
      <c r="A63" s="95" t="s">
        <v>18</v>
      </c>
      <c r="B63" s="97" t="s">
        <v>220</v>
      </c>
      <c r="C63" s="97" t="s">
        <v>221</v>
      </c>
      <c r="D63" s="97" t="s">
        <v>47</v>
      </c>
      <c r="E63" s="97" t="s">
        <v>48</v>
      </c>
      <c r="F63" s="97" t="s">
        <v>222</v>
      </c>
      <c r="G63" s="98">
        <v>45749</v>
      </c>
      <c r="H63" s="98">
        <v>45749</v>
      </c>
      <c r="I63" s="98">
        <v>45749</v>
      </c>
      <c r="J63" s="115" t="s">
        <v>50</v>
      </c>
      <c r="K63" s="111">
        <v>540340.4</v>
      </c>
      <c r="L63" s="112"/>
      <c r="M63" s="111"/>
      <c r="N63" s="111"/>
      <c r="O63" s="111"/>
      <c r="P63" s="113">
        <f t="shared" si="0"/>
        <v>12968.1696</v>
      </c>
      <c r="Q63" s="118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ht="14.25" customHeight="1" spans="1:28">
      <c r="A64" s="95" t="s">
        <v>18</v>
      </c>
      <c r="B64" s="97" t="s">
        <v>223</v>
      </c>
      <c r="C64" s="97" t="s">
        <v>89</v>
      </c>
      <c r="D64" s="97" t="s">
        <v>68</v>
      </c>
      <c r="E64" s="97" t="s">
        <v>80</v>
      </c>
      <c r="F64" s="97" t="s">
        <v>224</v>
      </c>
      <c r="G64" s="98">
        <v>45744</v>
      </c>
      <c r="H64" s="98">
        <v>45744</v>
      </c>
      <c r="I64" s="98">
        <v>45744</v>
      </c>
      <c r="J64" s="115" t="s">
        <v>71</v>
      </c>
      <c r="K64" s="111">
        <v>630</v>
      </c>
      <c r="L64" s="112"/>
      <c r="M64" s="111"/>
      <c r="N64" s="111"/>
      <c r="O64" s="111"/>
      <c r="P64" s="113">
        <f t="shared" si="0"/>
        <v>585.9</v>
      </c>
      <c r="Q64" s="118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4.25" customHeight="1" spans="1:28">
      <c r="A65" s="95" t="s">
        <v>18</v>
      </c>
      <c r="B65" s="97" t="s">
        <v>225</v>
      </c>
      <c r="C65" s="97" t="s">
        <v>89</v>
      </c>
      <c r="D65" s="97" t="s">
        <v>99</v>
      </c>
      <c r="E65" s="97" t="s">
        <v>226</v>
      </c>
      <c r="F65" s="97" t="s">
        <v>94</v>
      </c>
      <c r="G65" s="98">
        <v>45733</v>
      </c>
      <c r="H65" s="98">
        <v>45750</v>
      </c>
      <c r="I65" s="98">
        <v>45750</v>
      </c>
      <c r="J65" s="115" t="s">
        <v>50</v>
      </c>
      <c r="K65" s="111">
        <v>200000</v>
      </c>
      <c r="L65" s="112"/>
      <c r="M65" s="111"/>
      <c r="N65" s="111"/>
      <c r="O65" s="111"/>
      <c r="P65" s="113">
        <f t="shared" si="0"/>
        <v>4800</v>
      </c>
      <c r="Q65" s="118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4.25" customHeight="1" spans="1:28">
      <c r="A66" s="95" t="s">
        <v>18</v>
      </c>
      <c r="B66" s="97" t="s">
        <v>227</v>
      </c>
      <c r="C66" s="97" t="s">
        <v>67</v>
      </c>
      <c r="D66" s="97" t="s">
        <v>228</v>
      </c>
      <c r="E66" s="97" t="s">
        <v>229</v>
      </c>
      <c r="F66" s="97" t="s">
        <v>230</v>
      </c>
      <c r="G66" s="98">
        <v>45751</v>
      </c>
      <c r="H66" s="98">
        <v>45751</v>
      </c>
      <c r="I66" s="98">
        <v>45751</v>
      </c>
      <c r="J66" s="115" t="s">
        <v>24</v>
      </c>
      <c r="K66" s="111">
        <v>12500</v>
      </c>
      <c r="L66" s="112">
        <v>12000</v>
      </c>
      <c r="M66" s="111"/>
      <c r="N66" s="111"/>
      <c r="O66" s="111"/>
      <c r="P66" s="113">
        <f t="shared" si="0"/>
        <v>12000</v>
      </c>
      <c r="Q66" s="118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ht="14.25" customHeight="1" spans="1:28">
      <c r="A67" s="95" t="s">
        <v>18</v>
      </c>
      <c r="B67" s="97" t="s">
        <v>231</v>
      </c>
      <c r="C67" s="119" t="s">
        <v>89</v>
      </c>
      <c r="D67" s="97" t="s">
        <v>157</v>
      </c>
      <c r="E67" s="97" t="s">
        <v>232</v>
      </c>
      <c r="F67" s="97" t="s">
        <v>233</v>
      </c>
      <c r="G67" s="98">
        <v>45751</v>
      </c>
      <c r="H67" s="98">
        <v>45755</v>
      </c>
      <c r="I67" s="98">
        <v>45755</v>
      </c>
      <c r="J67" s="115" t="s">
        <v>24</v>
      </c>
      <c r="K67" s="111">
        <v>7782</v>
      </c>
      <c r="L67" s="112">
        <v>40000</v>
      </c>
      <c r="M67" s="111"/>
      <c r="N67" s="111"/>
      <c r="O67" s="111"/>
      <c r="P67" s="113">
        <f t="shared" si="0"/>
        <v>40000</v>
      </c>
      <c r="Q67" s="118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ht="14.25" customHeight="1" spans="1:28">
      <c r="A68" s="95" t="s">
        <v>18</v>
      </c>
      <c r="B68" s="97" t="s">
        <v>234</v>
      </c>
      <c r="C68" s="119" t="s">
        <v>89</v>
      </c>
      <c r="D68" s="97" t="s">
        <v>157</v>
      </c>
      <c r="E68" s="97" t="s">
        <v>158</v>
      </c>
      <c r="F68" s="97" t="s">
        <v>235</v>
      </c>
      <c r="G68" s="98">
        <v>45757</v>
      </c>
      <c r="H68" s="98">
        <v>45757</v>
      </c>
      <c r="I68" s="98">
        <v>45757</v>
      </c>
      <c r="J68" s="115" t="s">
        <v>24</v>
      </c>
      <c r="K68" s="111">
        <v>19</v>
      </c>
      <c r="L68" s="112"/>
      <c r="M68" s="111"/>
      <c r="N68" s="111"/>
      <c r="O68" s="111"/>
      <c r="P68" s="113">
        <f t="shared" ref="P68:P127" si="1">IF(J68="€",IF(O68&lt;&gt;"",O68,IF(N68&lt;&gt;"",N68,IF(M68&lt;&gt;"",M68,IF(L68&lt;&gt;"",L68,IF(K68&lt;&gt;"",K68,""))))),IF(J68="$",IF(O68&lt;&gt;"",O68,IF(N68&lt;&gt;"",N68,IF(M68&lt;&gt;"",M68,IF(L68&lt;&gt;"",L68,IF(K68&lt;&gt;"",K68,"")))))*0.93,IF(J68="TRY",IF(O68&lt;&gt;"",O68,IF(N68&lt;&gt;"",N68,IF(M68&lt;&gt;"",M68,IF(L68&lt;&gt;"",L68,IF(K68&lt;&gt;"",K68,"")))))*0.024,"")))</f>
        <v>19</v>
      </c>
      <c r="Q68" s="118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ht="14.25" customHeight="1" spans="1:28">
      <c r="A69" s="95" t="s">
        <v>18</v>
      </c>
      <c r="B69" s="97" t="s">
        <v>236</v>
      </c>
      <c r="C69" s="97" t="s">
        <v>67</v>
      </c>
      <c r="D69" s="97" t="s">
        <v>102</v>
      </c>
      <c r="E69" s="97" t="s">
        <v>237</v>
      </c>
      <c r="F69" s="97" t="s">
        <v>238</v>
      </c>
      <c r="G69" s="98">
        <v>45762</v>
      </c>
      <c r="H69" s="98">
        <v>45762</v>
      </c>
      <c r="I69" s="98">
        <v>45762</v>
      </c>
      <c r="J69" s="115" t="s">
        <v>24</v>
      </c>
      <c r="K69" s="111">
        <v>280</v>
      </c>
      <c r="L69" s="112"/>
      <c r="M69" s="111"/>
      <c r="N69" s="111"/>
      <c r="O69" s="111"/>
      <c r="P69" s="113">
        <f t="shared" si="1"/>
        <v>280</v>
      </c>
      <c r="Q69" s="118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ht="14.25" customHeight="1" spans="1:28">
      <c r="A70" s="95" t="s">
        <v>18</v>
      </c>
      <c r="B70" s="97" t="s">
        <v>239</v>
      </c>
      <c r="C70" s="97" t="s">
        <v>67</v>
      </c>
      <c r="D70" s="97" t="s">
        <v>61</v>
      </c>
      <c r="E70" s="97" t="s">
        <v>240</v>
      </c>
      <c r="F70" s="97" t="s">
        <v>241</v>
      </c>
      <c r="G70" s="98">
        <v>45764</v>
      </c>
      <c r="H70" s="98">
        <v>45764</v>
      </c>
      <c r="I70" s="98">
        <v>45764</v>
      </c>
      <c r="J70" s="115" t="s">
        <v>24</v>
      </c>
      <c r="K70" s="111">
        <v>2500</v>
      </c>
      <c r="L70" s="112"/>
      <c r="M70" s="111"/>
      <c r="N70" s="111"/>
      <c r="O70" s="111"/>
      <c r="P70" s="113">
        <f t="shared" si="1"/>
        <v>2500</v>
      </c>
      <c r="Q70" s="118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ht="14.25" customHeight="1" spans="1:28">
      <c r="A71" s="95" t="s">
        <v>18</v>
      </c>
      <c r="B71" s="97" t="s">
        <v>242</v>
      </c>
      <c r="C71" s="97" t="s">
        <v>243</v>
      </c>
      <c r="D71" s="97" t="s">
        <v>47</v>
      </c>
      <c r="E71" s="97" t="s">
        <v>48</v>
      </c>
      <c r="F71" s="97" t="s">
        <v>244</v>
      </c>
      <c r="G71" s="98">
        <v>45764</v>
      </c>
      <c r="H71" s="98">
        <v>45764</v>
      </c>
      <c r="I71" s="98">
        <v>45764</v>
      </c>
      <c r="J71" s="115" t="s">
        <v>50</v>
      </c>
      <c r="K71" s="111">
        <v>604973.73</v>
      </c>
      <c r="L71" s="112"/>
      <c r="M71" s="111"/>
      <c r="N71" s="111"/>
      <c r="O71" s="111"/>
      <c r="P71" s="113">
        <f t="shared" si="1"/>
        <v>14519.36952</v>
      </c>
      <c r="Q71" s="118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ht="14.25" customHeight="1" spans="1:28">
      <c r="A72" s="95" t="s">
        <v>18</v>
      </c>
      <c r="B72" s="97" t="s">
        <v>245</v>
      </c>
      <c r="C72" s="97" t="s">
        <v>243</v>
      </c>
      <c r="D72" s="97" t="s">
        <v>47</v>
      </c>
      <c r="E72" s="97" t="s">
        <v>48</v>
      </c>
      <c r="F72" s="97" t="s">
        <v>246</v>
      </c>
      <c r="G72" s="98">
        <v>45764</v>
      </c>
      <c r="H72" s="98">
        <v>45821</v>
      </c>
      <c r="I72" s="98">
        <v>45764</v>
      </c>
      <c r="J72" s="115" t="s">
        <v>50</v>
      </c>
      <c r="K72" s="111">
        <v>604973.73</v>
      </c>
      <c r="L72" s="112"/>
      <c r="M72" s="111"/>
      <c r="N72" s="111"/>
      <c r="O72" s="111"/>
      <c r="P72" s="113">
        <f t="shared" si="1"/>
        <v>14519.36952</v>
      </c>
      <c r="Q72" s="118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ht="14.25" customHeight="1" spans="1:28">
      <c r="A73" s="95" t="s">
        <v>18</v>
      </c>
      <c r="B73" s="97" t="s">
        <v>247</v>
      </c>
      <c r="C73" s="97" t="s">
        <v>243</v>
      </c>
      <c r="D73" s="97" t="s">
        <v>47</v>
      </c>
      <c r="E73" s="97" t="s">
        <v>48</v>
      </c>
      <c r="F73" s="97" t="s">
        <v>248</v>
      </c>
      <c r="G73" s="98">
        <v>45764</v>
      </c>
      <c r="H73" s="98">
        <v>45765</v>
      </c>
      <c r="I73" s="98">
        <v>45764</v>
      </c>
      <c r="J73" s="115" t="s">
        <v>50</v>
      </c>
      <c r="K73" s="111">
        <v>51502.51</v>
      </c>
      <c r="L73" s="112"/>
      <c r="M73" s="111"/>
      <c r="N73" s="111"/>
      <c r="O73" s="111"/>
      <c r="P73" s="113">
        <f t="shared" si="1"/>
        <v>1236.06024</v>
      </c>
      <c r="Q73" s="118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ht="14.25" customHeight="1" spans="1:28">
      <c r="A74" s="95" t="s">
        <v>18</v>
      </c>
      <c r="B74" s="97" t="s">
        <v>249</v>
      </c>
      <c r="C74" s="97" t="s">
        <v>67</v>
      </c>
      <c r="D74" s="97" t="s">
        <v>61</v>
      </c>
      <c r="E74" s="97" t="s">
        <v>250</v>
      </c>
      <c r="F74" s="97" t="s">
        <v>251</v>
      </c>
      <c r="G74" s="98">
        <v>45769</v>
      </c>
      <c r="H74" s="98">
        <v>45769</v>
      </c>
      <c r="I74" s="98">
        <v>45769</v>
      </c>
      <c r="J74" s="115" t="s">
        <v>24</v>
      </c>
      <c r="K74" s="111">
        <v>2200</v>
      </c>
      <c r="L74" s="112">
        <v>2160</v>
      </c>
      <c r="M74" s="111"/>
      <c r="N74" s="111"/>
      <c r="O74" s="111"/>
      <c r="P74" s="113">
        <f t="shared" si="1"/>
        <v>2160</v>
      </c>
      <c r="Q74" s="118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ht="14.25" customHeight="1" spans="1:28">
      <c r="A75" s="95" t="s">
        <v>18</v>
      </c>
      <c r="B75" s="97" t="s">
        <v>252</v>
      </c>
      <c r="C75" s="97" t="s">
        <v>67</v>
      </c>
      <c r="D75" s="97" t="s">
        <v>191</v>
      </c>
      <c r="E75" s="97" t="s">
        <v>147</v>
      </c>
      <c r="F75" s="97" t="s">
        <v>253</v>
      </c>
      <c r="G75" s="98">
        <v>45771</v>
      </c>
      <c r="H75" s="98">
        <v>45771</v>
      </c>
      <c r="I75" s="98">
        <v>45771</v>
      </c>
      <c r="J75" s="115" t="s">
        <v>24</v>
      </c>
      <c r="K75" s="111">
        <v>6750</v>
      </c>
      <c r="L75" s="112">
        <v>6350</v>
      </c>
      <c r="M75" s="111"/>
      <c r="N75" s="111"/>
      <c r="O75" s="111"/>
      <c r="P75" s="113">
        <f t="shared" si="1"/>
        <v>6350</v>
      </c>
      <c r="Q75" s="118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ht="14.25" customHeight="1" spans="1:28">
      <c r="A76" s="95" t="s">
        <v>18</v>
      </c>
      <c r="B76" s="97" t="s">
        <v>254</v>
      </c>
      <c r="C76" s="97" t="s">
        <v>67</v>
      </c>
      <c r="D76" s="97" t="s">
        <v>61</v>
      </c>
      <c r="E76" s="97" t="s">
        <v>255</v>
      </c>
      <c r="F76" s="97" t="s">
        <v>256</v>
      </c>
      <c r="G76" s="98">
        <v>45775</v>
      </c>
      <c r="H76" s="98">
        <v>45775</v>
      </c>
      <c r="I76" s="98">
        <v>45775</v>
      </c>
      <c r="J76" s="115" t="s">
        <v>24</v>
      </c>
      <c r="K76" s="111">
        <v>10880</v>
      </c>
      <c r="L76" s="112"/>
      <c r="M76" s="111"/>
      <c r="N76" s="111"/>
      <c r="O76" s="111"/>
      <c r="P76" s="113">
        <f t="shared" si="1"/>
        <v>10880</v>
      </c>
      <c r="Q76" s="118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ht="14.25" customHeight="1" spans="1:28">
      <c r="A77" s="95" t="s">
        <v>18</v>
      </c>
      <c r="B77" s="97" t="s">
        <v>257</v>
      </c>
      <c r="C77" s="97" t="s">
        <v>258</v>
      </c>
      <c r="D77" s="97" t="s">
        <v>117</v>
      </c>
      <c r="E77" s="97" t="s">
        <v>118</v>
      </c>
      <c r="F77" s="97" t="s">
        <v>259</v>
      </c>
      <c r="G77" s="98">
        <v>45776</v>
      </c>
      <c r="H77" s="98">
        <v>45776</v>
      </c>
      <c r="I77" s="98">
        <v>45776</v>
      </c>
      <c r="J77" s="115" t="s">
        <v>24</v>
      </c>
      <c r="K77" s="111">
        <v>800</v>
      </c>
      <c r="L77" s="112"/>
      <c r="M77" s="111"/>
      <c r="N77" s="111"/>
      <c r="O77" s="111"/>
      <c r="P77" s="113">
        <f t="shared" si="1"/>
        <v>800</v>
      </c>
      <c r="Q77" s="118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ht="14.25" customHeight="1" spans="1:28">
      <c r="A78" s="95" t="s">
        <v>18</v>
      </c>
      <c r="B78" s="97" t="s">
        <v>260</v>
      </c>
      <c r="C78" s="97" t="s">
        <v>20</v>
      </c>
      <c r="D78" s="97" t="s">
        <v>47</v>
      </c>
      <c r="E78" s="97" t="s">
        <v>48</v>
      </c>
      <c r="F78" s="97" t="s">
        <v>261</v>
      </c>
      <c r="G78" s="98">
        <v>45776</v>
      </c>
      <c r="H78" s="98"/>
      <c r="I78" s="98"/>
      <c r="J78" s="115" t="s">
        <v>50</v>
      </c>
      <c r="K78" s="111">
        <v>179068</v>
      </c>
      <c r="L78" s="112"/>
      <c r="M78" s="111"/>
      <c r="N78" s="111"/>
      <c r="O78" s="111"/>
      <c r="P78" s="113">
        <f t="shared" si="1"/>
        <v>4297.632</v>
      </c>
      <c r="Q78" s="118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ht="14.25" customHeight="1" spans="1:28">
      <c r="A79" s="95" t="s">
        <v>18</v>
      </c>
      <c r="B79" s="97" t="s">
        <v>262</v>
      </c>
      <c r="C79" s="95" t="s">
        <v>67</v>
      </c>
      <c r="D79" s="95" t="s">
        <v>68</v>
      </c>
      <c r="E79" s="95" t="s">
        <v>80</v>
      </c>
      <c r="F79" s="95" t="s">
        <v>263</v>
      </c>
      <c r="G79" s="98">
        <v>45777</v>
      </c>
      <c r="H79" s="98">
        <v>45805</v>
      </c>
      <c r="I79" s="98">
        <v>45805</v>
      </c>
      <c r="J79" s="115" t="s">
        <v>24</v>
      </c>
      <c r="K79" s="111">
        <v>34100</v>
      </c>
      <c r="L79" s="112"/>
      <c r="M79" s="111"/>
      <c r="N79" s="111"/>
      <c r="O79" s="111"/>
      <c r="P79" s="113">
        <f t="shared" si="1"/>
        <v>34100</v>
      </c>
      <c r="Q79" s="118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ht="14.25" customHeight="1" spans="1:28">
      <c r="A80" s="95" t="s">
        <v>18</v>
      </c>
      <c r="B80" s="97" t="s">
        <v>264</v>
      </c>
      <c r="C80" s="97" t="s">
        <v>67</v>
      </c>
      <c r="D80" s="97" t="s">
        <v>265</v>
      </c>
      <c r="E80" s="97" t="s">
        <v>266</v>
      </c>
      <c r="F80" s="97" t="s">
        <v>267</v>
      </c>
      <c r="G80" s="98">
        <v>45782</v>
      </c>
      <c r="H80" s="98">
        <v>45797</v>
      </c>
      <c r="I80" s="98">
        <v>45797</v>
      </c>
      <c r="J80" s="115" t="s">
        <v>24</v>
      </c>
      <c r="K80" s="111">
        <v>51000</v>
      </c>
      <c r="L80" s="112">
        <v>45000</v>
      </c>
      <c r="M80" s="111">
        <v>44100</v>
      </c>
      <c r="N80" s="111"/>
      <c r="O80" s="111"/>
      <c r="P80" s="113">
        <f t="shared" si="1"/>
        <v>44100</v>
      </c>
      <c r="Q80" s="118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ht="15.75" customHeight="1" spans="1:28">
      <c r="A81" s="95" t="s">
        <v>18</v>
      </c>
      <c r="B81" s="97" t="s">
        <v>268</v>
      </c>
      <c r="C81" s="97" t="s">
        <v>269</v>
      </c>
      <c r="D81" s="97" t="s">
        <v>47</v>
      </c>
      <c r="E81" s="97" t="s">
        <v>270</v>
      </c>
      <c r="F81" s="97" t="s">
        <v>271</v>
      </c>
      <c r="G81" s="98">
        <v>45790</v>
      </c>
      <c r="H81" s="98">
        <v>45790</v>
      </c>
      <c r="I81" s="98">
        <v>45790</v>
      </c>
      <c r="J81" s="115" t="s">
        <v>50</v>
      </c>
      <c r="K81" s="111">
        <v>51502.51</v>
      </c>
      <c r="L81" s="112"/>
      <c r="M81" s="111"/>
      <c r="N81" s="111"/>
      <c r="O81" s="111"/>
      <c r="P81" s="113">
        <f t="shared" si="1"/>
        <v>1236.06024</v>
      </c>
      <c r="Q81" s="118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ht="15.75" customHeight="1" spans="1:28">
      <c r="A82" s="95" t="s">
        <v>18</v>
      </c>
      <c r="B82" s="97" t="s">
        <v>272</v>
      </c>
      <c r="C82" s="97" t="s">
        <v>269</v>
      </c>
      <c r="D82" s="97" t="s">
        <v>47</v>
      </c>
      <c r="E82" s="97" t="s">
        <v>270</v>
      </c>
      <c r="F82" s="97" t="s">
        <v>273</v>
      </c>
      <c r="G82" s="98">
        <v>45790</v>
      </c>
      <c r="H82" s="98">
        <v>45790</v>
      </c>
      <c r="I82" s="98">
        <v>45790</v>
      </c>
      <c r="J82" s="115" t="s">
        <v>50</v>
      </c>
      <c r="K82" s="111">
        <v>45193.51</v>
      </c>
      <c r="L82" s="112"/>
      <c r="M82" s="111"/>
      <c r="N82" s="111"/>
      <c r="O82" s="111"/>
      <c r="P82" s="113">
        <f t="shared" si="1"/>
        <v>1084.64424</v>
      </c>
      <c r="Q82" s="118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ht="15.75" customHeight="1" spans="1:28">
      <c r="A83" s="95" t="s">
        <v>18</v>
      </c>
      <c r="B83" s="97" t="s">
        <v>274</v>
      </c>
      <c r="C83" s="97" t="s">
        <v>275</v>
      </c>
      <c r="D83" s="97" t="s">
        <v>276</v>
      </c>
      <c r="E83" s="97" t="s">
        <v>277</v>
      </c>
      <c r="F83" s="97" t="s">
        <v>278</v>
      </c>
      <c r="G83" s="98">
        <v>45790</v>
      </c>
      <c r="H83" s="98">
        <v>45791</v>
      </c>
      <c r="I83" s="98">
        <v>45792</v>
      </c>
      <c r="J83" s="115" t="s">
        <v>24</v>
      </c>
      <c r="K83" s="132">
        <v>1899.5</v>
      </c>
      <c r="L83" s="112"/>
      <c r="M83" s="111"/>
      <c r="N83" s="111"/>
      <c r="O83" s="111"/>
      <c r="P83" s="113">
        <f t="shared" si="1"/>
        <v>1899.5</v>
      </c>
      <c r="Q83" s="118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ht="15.75" customHeight="1" spans="1:28">
      <c r="A84" s="119" t="s">
        <v>18</v>
      </c>
      <c r="B84" s="119" t="s">
        <v>279</v>
      </c>
      <c r="C84" s="119" t="s">
        <v>67</v>
      </c>
      <c r="D84" s="119" t="s">
        <v>134</v>
      </c>
      <c r="E84" s="119" t="s">
        <v>280</v>
      </c>
      <c r="F84" s="119" t="s">
        <v>281</v>
      </c>
      <c r="G84" s="120">
        <v>45797</v>
      </c>
      <c r="H84" s="120">
        <v>45800</v>
      </c>
      <c r="I84" s="120">
        <v>45800</v>
      </c>
      <c r="J84" s="123" t="s">
        <v>24</v>
      </c>
      <c r="K84" s="133">
        <v>5245.85</v>
      </c>
      <c r="L84" s="112"/>
      <c r="M84" s="112"/>
      <c r="N84" s="112"/>
      <c r="O84" s="112"/>
      <c r="P84" s="113">
        <f t="shared" si="1"/>
        <v>5245.85</v>
      </c>
      <c r="Q84" s="118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ht="15.75" customHeight="1" spans="1:28">
      <c r="A85" s="119" t="s">
        <v>18</v>
      </c>
      <c r="B85" s="119" t="s">
        <v>282</v>
      </c>
      <c r="C85" s="119" t="s">
        <v>269</v>
      </c>
      <c r="D85" s="97" t="s">
        <v>47</v>
      </c>
      <c r="E85" s="119" t="s">
        <v>48</v>
      </c>
      <c r="F85" s="119" t="s">
        <v>283</v>
      </c>
      <c r="G85" s="120">
        <v>45806</v>
      </c>
      <c r="H85" s="120">
        <v>45806</v>
      </c>
      <c r="I85" s="120">
        <v>45806</v>
      </c>
      <c r="J85" s="115" t="s">
        <v>50</v>
      </c>
      <c r="K85" s="133">
        <v>23941.5</v>
      </c>
      <c r="L85" s="112"/>
      <c r="M85" s="112"/>
      <c r="N85" s="112"/>
      <c r="O85" s="112"/>
      <c r="P85" s="113">
        <f t="shared" si="1"/>
        <v>574.596</v>
      </c>
      <c r="Q85" s="118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ht="15.75" customHeight="1" spans="1:28">
      <c r="A86" s="119" t="s">
        <v>18</v>
      </c>
      <c r="B86" s="119" t="s">
        <v>284</v>
      </c>
      <c r="C86" s="119" t="s">
        <v>269</v>
      </c>
      <c r="D86" s="97" t="s">
        <v>47</v>
      </c>
      <c r="E86" s="119" t="s">
        <v>48</v>
      </c>
      <c r="F86" s="119" t="s">
        <v>285</v>
      </c>
      <c r="G86" s="120">
        <v>45807</v>
      </c>
      <c r="H86" s="120">
        <v>45807</v>
      </c>
      <c r="I86" s="120">
        <v>45807</v>
      </c>
      <c r="J86" s="115" t="s">
        <v>50</v>
      </c>
      <c r="K86" s="133">
        <v>481773.68</v>
      </c>
      <c r="L86" s="112"/>
      <c r="M86" s="112"/>
      <c r="N86" s="112"/>
      <c r="O86" s="112"/>
      <c r="P86" s="113">
        <f t="shared" si="1"/>
        <v>11562.56832</v>
      </c>
      <c r="Q86" s="118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ht="15.75" customHeight="1" spans="1:28">
      <c r="A87" s="119" t="s">
        <v>18</v>
      </c>
      <c r="B87" s="119" t="s">
        <v>286</v>
      </c>
      <c r="C87" s="119" t="s">
        <v>269</v>
      </c>
      <c r="D87" s="97" t="s">
        <v>47</v>
      </c>
      <c r="E87" s="119" t="s">
        <v>48</v>
      </c>
      <c r="F87" s="119" t="s">
        <v>287</v>
      </c>
      <c r="G87" s="120">
        <v>45807</v>
      </c>
      <c r="H87" s="120">
        <v>45807</v>
      </c>
      <c r="I87" s="120">
        <v>45807</v>
      </c>
      <c r="J87" s="115" t="s">
        <v>50</v>
      </c>
      <c r="K87" s="133">
        <v>481773.68</v>
      </c>
      <c r="L87" s="112"/>
      <c r="M87" s="112"/>
      <c r="N87" s="112"/>
      <c r="O87" s="112"/>
      <c r="P87" s="113">
        <f t="shared" si="1"/>
        <v>11562.56832</v>
      </c>
      <c r="Q87" s="118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ht="15.75" customHeight="1" spans="1:28">
      <c r="A88" s="119" t="s">
        <v>18</v>
      </c>
      <c r="B88" s="119" t="s">
        <v>288</v>
      </c>
      <c r="C88" s="119" t="s">
        <v>269</v>
      </c>
      <c r="D88" s="97" t="s">
        <v>47</v>
      </c>
      <c r="E88" s="119" t="s">
        <v>48</v>
      </c>
      <c r="F88" s="119" t="s">
        <v>289</v>
      </c>
      <c r="G88" s="120">
        <v>45807</v>
      </c>
      <c r="H88" s="120">
        <v>45807</v>
      </c>
      <c r="I88" s="120">
        <v>45807</v>
      </c>
      <c r="J88" s="115" t="s">
        <v>50</v>
      </c>
      <c r="K88" s="133">
        <v>727765.91</v>
      </c>
      <c r="L88" s="112"/>
      <c r="M88" s="112"/>
      <c r="N88" s="112"/>
      <c r="O88" s="112"/>
      <c r="P88" s="113">
        <f t="shared" si="1"/>
        <v>17466.38184</v>
      </c>
      <c r="Q88" s="118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ht="15.75" customHeight="1" spans="1:28">
      <c r="A89" s="119" t="s">
        <v>18</v>
      </c>
      <c r="B89" s="119" t="s">
        <v>290</v>
      </c>
      <c r="C89" s="119" t="s">
        <v>67</v>
      </c>
      <c r="D89" s="119" t="s">
        <v>68</v>
      </c>
      <c r="E89" s="119" t="s">
        <v>80</v>
      </c>
      <c r="F89" s="119" t="s">
        <v>291</v>
      </c>
      <c r="G89" s="120">
        <v>45807</v>
      </c>
      <c r="H89" s="120">
        <v>45811</v>
      </c>
      <c r="I89" s="120">
        <v>45811</v>
      </c>
      <c r="J89" s="123" t="s">
        <v>24</v>
      </c>
      <c r="K89" s="133">
        <v>5000</v>
      </c>
      <c r="L89" s="112">
        <v>2154</v>
      </c>
      <c r="M89" s="112"/>
      <c r="N89" s="112"/>
      <c r="O89" s="112"/>
      <c r="P89" s="113">
        <f t="shared" si="1"/>
        <v>2154</v>
      </c>
      <c r="Q89" s="118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ht="15.75" customHeight="1" spans="1:28">
      <c r="A90" s="119" t="s">
        <v>18</v>
      </c>
      <c r="B90" s="119" t="s">
        <v>292</v>
      </c>
      <c r="C90" s="119" t="s">
        <v>89</v>
      </c>
      <c r="D90" s="119" t="s">
        <v>102</v>
      </c>
      <c r="E90" s="119" t="s">
        <v>195</v>
      </c>
      <c r="F90" s="119" t="s">
        <v>293</v>
      </c>
      <c r="G90" s="120">
        <v>45778</v>
      </c>
      <c r="H90" s="120">
        <v>45812</v>
      </c>
      <c r="I90" s="120">
        <v>45812</v>
      </c>
      <c r="J90" s="123" t="s">
        <v>24</v>
      </c>
      <c r="K90" s="133">
        <v>500</v>
      </c>
      <c r="L90" s="112"/>
      <c r="M90" s="112"/>
      <c r="N90" s="112"/>
      <c r="O90" s="112"/>
      <c r="P90" s="113">
        <f t="shared" si="1"/>
        <v>500</v>
      </c>
      <c r="Q90" s="118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ht="15.75" customHeight="1" spans="1:28">
      <c r="A91" s="119" t="s">
        <v>18</v>
      </c>
      <c r="B91" s="119" t="s">
        <v>294</v>
      </c>
      <c r="C91" s="119" t="s">
        <v>89</v>
      </c>
      <c r="D91" s="119" t="s">
        <v>157</v>
      </c>
      <c r="E91" s="119" t="s">
        <v>158</v>
      </c>
      <c r="F91" s="119" t="s">
        <v>295</v>
      </c>
      <c r="G91" s="120">
        <v>45779</v>
      </c>
      <c r="H91" s="120">
        <v>45812</v>
      </c>
      <c r="I91" s="120">
        <v>45812</v>
      </c>
      <c r="J91" s="123" t="s">
        <v>24</v>
      </c>
      <c r="K91" s="133">
        <v>13120</v>
      </c>
      <c r="L91" s="112"/>
      <c r="M91" s="112"/>
      <c r="N91" s="112"/>
      <c r="O91" s="112"/>
      <c r="P91" s="113">
        <f t="shared" si="1"/>
        <v>13120</v>
      </c>
      <c r="Q91" s="118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ht="15.75" customHeight="1" spans="1:28">
      <c r="A92" s="119" t="s">
        <v>18</v>
      </c>
      <c r="B92" s="119" t="s">
        <v>296</v>
      </c>
      <c r="C92" s="119" t="s">
        <v>67</v>
      </c>
      <c r="D92" s="119" t="s">
        <v>83</v>
      </c>
      <c r="E92" s="119" t="s">
        <v>297</v>
      </c>
      <c r="F92" s="119" t="s">
        <v>298</v>
      </c>
      <c r="G92" s="120">
        <v>45818</v>
      </c>
      <c r="H92" s="120">
        <v>45832</v>
      </c>
      <c r="I92" s="120">
        <v>45827</v>
      </c>
      <c r="J92" s="123" t="s">
        <v>24</v>
      </c>
      <c r="K92" s="133">
        <v>880000</v>
      </c>
      <c r="L92" s="112"/>
      <c r="M92" s="112"/>
      <c r="N92" s="112"/>
      <c r="O92" s="112"/>
      <c r="P92" s="113">
        <f t="shared" si="1"/>
        <v>880000</v>
      </c>
      <c r="Q92" s="118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ht="15.75" customHeight="1" spans="1:28">
      <c r="A93" s="119" t="s">
        <v>18</v>
      </c>
      <c r="B93" s="119" t="s">
        <v>299</v>
      </c>
      <c r="C93" s="119" t="s">
        <v>67</v>
      </c>
      <c r="D93" s="119" t="s">
        <v>300</v>
      </c>
      <c r="E93" s="119" t="s">
        <v>301</v>
      </c>
      <c r="F93" s="119" t="s">
        <v>302</v>
      </c>
      <c r="G93" s="120">
        <v>45818</v>
      </c>
      <c r="H93" s="120">
        <v>45822</v>
      </c>
      <c r="I93" s="120">
        <v>45824</v>
      </c>
      <c r="J93" s="123" t="s">
        <v>24</v>
      </c>
      <c r="K93" s="133">
        <v>128000</v>
      </c>
      <c r="L93" s="112">
        <v>90000</v>
      </c>
      <c r="M93" s="112"/>
      <c r="N93" s="112"/>
      <c r="O93" s="112"/>
      <c r="P93" s="113">
        <f t="shared" si="1"/>
        <v>90000</v>
      </c>
      <c r="Q93" s="118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ht="15.75" customHeight="1" spans="1:28">
      <c r="A94" s="119" t="s">
        <v>18</v>
      </c>
      <c r="B94" s="119" t="s">
        <v>303</v>
      </c>
      <c r="C94" s="119" t="s">
        <v>67</v>
      </c>
      <c r="D94" s="119" t="s">
        <v>83</v>
      </c>
      <c r="E94" s="119" t="s">
        <v>297</v>
      </c>
      <c r="F94" s="119" t="s">
        <v>304</v>
      </c>
      <c r="G94" s="120">
        <v>45819</v>
      </c>
      <c r="H94" s="120">
        <v>45898</v>
      </c>
      <c r="I94" s="120">
        <v>45828</v>
      </c>
      <c r="J94" s="134"/>
      <c r="K94" s="133"/>
      <c r="L94" s="112"/>
      <c r="M94" s="112"/>
      <c r="N94" s="112"/>
      <c r="O94" s="112"/>
      <c r="P94" s="113" t="str">
        <f t="shared" si="1"/>
        <v/>
      </c>
      <c r="Q94" s="118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ht="15.75" customHeight="1" spans="1:28">
      <c r="A95" s="119" t="s">
        <v>18</v>
      </c>
      <c r="B95" s="119" t="s">
        <v>305</v>
      </c>
      <c r="C95" s="119" t="s">
        <v>67</v>
      </c>
      <c r="D95" s="119" t="s">
        <v>83</v>
      </c>
      <c r="E95" s="119" t="s">
        <v>297</v>
      </c>
      <c r="F95" s="119" t="s">
        <v>306</v>
      </c>
      <c r="G95" s="120">
        <v>45819</v>
      </c>
      <c r="H95" s="120">
        <v>45898</v>
      </c>
      <c r="I95" s="120">
        <v>45828</v>
      </c>
      <c r="J95" s="134"/>
      <c r="K95" s="133"/>
      <c r="L95" s="112"/>
      <c r="M95" s="112"/>
      <c r="N95" s="112"/>
      <c r="O95" s="112"/>
      <c r="P95" s="113" t="str">
        <f t="shared" si="1"/>
        <v/>
      </c>
      <c r="Q95" s="118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ht="15.75" customHeight="1" spans="1:28">
      <c r="A96" s="119" t="s">
        <v>18</v>
      </c>
      <c r="B96" s="119" t="s">
        <v>307</v>
      </c>
      <c r="C96" s="119" t="s">
        <v>67</v>
      </c>
      <c r="D96" s="119" t="s">
        <v>83</v>
      </c>
      <c r="E96" s="119" t="s">
        <v>297</v>
      </c>
      <c r="F96" s="119" t="s">
        <v>308</v>
      </c>
      <c r="G96" s="120">
        <v>45819</v>
      </c>
      <c r="H96" s="120">
        <v>45832</v>
      </c>
      <c r="I96" s="120">
        <v>45828</v>
      </c>
      <c r="J96" s="123" t="s">
        <v>24</v>
      </c>
      <c r="K96" s="133">
        <v>1125000</v>
      </c>
      <c r="L96" s="112"/>
      <c r="M96" s="112"/>
      <c r="N96" s="112"/>
      <c r="O96" s="112"/>
      <c r="P96" s="113">
        <f t="shared" si="1"/>
        <v>1125000</v>
      </c>
      <c r="Q96" s="118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ht="15.75" customHeight="1" spans="1:28">
      <c r="A97" s="119" t="s">
        <v>18</v>
      </c>
      <c r="B97" s="119" t="s">
        <v>309</v>
      </c>
      <c r="C97" s="119" t="s">
        <v>67</v>
      </c>
      <c r="D97" s="119" t="s">
        <v>174</v>
      </c>
      <c r="E97" s="119" t="s">
        <v>175</v>
      </c>
      <c r="F97" s="119" t="s">
        <v>310</v>
      </c>
      <c r="G97" s="120">
        <v>45820</v>
      </c>
      <c r="H97" s="120">
        <v>45820</v>
      </c>
      <c r="I97" s="120">
        <v>45820</v>
      </c>
      <c r="J97" s="123" t="s">
        <v>24</v>
      </c>
      <c r="K97" s="133">
        <v>2500</v>
      </c>
      <c r="L97" s="112"/>
      <c r="M97" s="112"/>
      <c r="N97" s="112"/>
      <c r="O97" s="112"/>
      <c r="P97" s="113">
        <f t="shared" si="1"/>
        <v>2500</v>
      </c>
      <c r="Q97" s="118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ht="15.75" customHeight="1" spans="1:28">
      <c r="A98" s="119" t="s">
        <v>18</v>
      </c>
      <c r="B98" s="119" t="s">
        <v>311</v>
      </c>
      <c r="C98" s="119" t="s">
        <v>67</v>
      </c>
      <c r="D98" s="119" t="s">
        <v>157</v>
      </c>
      <c r="E98" s="119" t="s">
        <v>312</v>
      </c>
      <c r="F98" s="119" t="s">
        <v>313</v>
      </c>
      <c r="G98" s="120">
        <v>45821</v>
      </c>
      <c r="H98" s="120">
        <v>45821</v>
      </c>
      <c r="I98" s="120">
        <v>45821</v>
      </c>
      <c r="J98" s="123" t="s">
        <v>24</v>
      </c>
      <c r="K98" s="133">
        <v>1950</v>
      </c>
      <c r="L98" s="112"/>
      <c r="M98" s="112"/>
      <c r="N98" s="112"/>
      <c r="O98" s="112"/>
      <c r="P98" s="113">
        <f t="shared" si="1"/>
        <v>1950</v>
      </c>
      <c r="Q98" s="118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ht="15.75" customHeight="1" spans="1:28">
      <c r="A99" s="119" t="s">
        <v>18</v>
      </c>
      <c r="B99" s="119" t="s">
        <v>314</v>
      </c>
      <c r="C99" s="119" t="s">
        <v>269</v>
      </c>
      <c r="D99" s="97" t="s">
        <v>47</v>
      </c>
      <c r="E99" s="119" t="s">
        <v>48</v>
      </c>
      <c r="F99" s="119" t="s">
        <v>315</v>
      </c>
      <c r="G99" s="120">
        <v>45827</v>
      </c>
      <c r="H99" s="120">
        <v>45827</v>
      </c>
      <c r="I99" s="120">
        <v>45827</v>
      </c>
      <c r="J99" s="115" t="s">
        <v>50</v>
      </c>
      <c r="K99" s="133">
        <v>27621</v>
      </c>
      <c r="L99" s="112"/>
      <c r="M99" s="112"/>
      <c r="N99" s="112"/>
      <c r="O99" s="112"/>
      <c r="P99" s="113">
        <f t="shared" si="1"/>
        <v>662.904</v>
      </c>
      <c r="Q99" s="118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ht="15.75" customHeight="1" spans="1:28">
      <c r="A100" s="119" t="s">
        <v>18</v>
      </c>
      <c r="B100" s="119" t="s">
        <v>316</v>
      </c>
      <c r="C100" s="119" t="s">
        <v>269</v>
      </c>
      <c r="D100" s="97" t="s">
        <v>47</v>
      </c>
      <c r="E100" s="119" t="s">
        <v>48</v>
      </c>
      <c r="F100" s="119" t="s">
        <v>317</v>
      </c>
      <c r="G100" s="120">
        <v>45827</v>
      </c>
      <c r="H100" s="120">
        <v>45827</v>
      </c>
      <c r="I100" s="120">
        <v>45827</v>
      </c>
      <c r="J100" s="115" t="s">
        <v>50</v>
      </c>
      <c r="K100" s="133">
        <v>240850</v>
      </c>
      <c r="L100" s="112"/>
      <c r="M100" s="112"/>
      <c r="N100" s="112"/>
      <c r="O100" s="112"/>
      <c r="P100" s="113">
        <f t="shared" si="1"/>
        <v>5780.4</v>
      </c>
      <c r="Q100" s="118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ht="15.75" customHeight="1" spans="1:28">
      <c r="A101" s="119" t="s">
        <v>18</v>
      </c>
      <c r="B101" s="119" t="s">
        <v>318</v>
      </c>
      <c r="C101" s="119" t="s">
        <v>89</v>
      </c>
      <c r="D101" s="119" t="s">
        <v>68</v>
      </c>
      <c r="E101" s="119" t="s">
        <v>319</v>
      </c>
      <c r="F101" s="119" t="s">
        <v>320</v>
      </c>
      <c r="G101" s="120">
        <v>45831</v>
      </c>
      <c r="H101" s="120">
        <v>45831</v>
      </c>
      <c r="I101" s="120">
        <v>45831</v>
      </c>
      <c r="J101" s="134"/>
      <c r="K101" s="133"/>
      <c r="L101" s="112"/>
      <c r="M101" s="112"/>
      <c r="N101" s="112"/>
      <c r="O101" s="112"/>
      <c r="P101" s="113" t="str">
        <f t="shared" si="1"/>
        <v/>
      </c>
      <c r="Q101" s="118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ht="15.75" customHeight="1" spans="1:28">
      <c r="A102" s="119" t="s">
        <v>18</v>
      </c>
      <c r="B102" s="119" t="s">
        <v>321</v>
      </c>
      <c r="C102" s="119" t="s">
        <v>89</v>
      </c>
      <c r="D102" s="119" t="s">
        <v>157</v>
      </c>
      <c r="E102" s="119" t="s">
        <v>322</v>
      </c>
      <c r="F102" s="119" t="s">
        <v>323</v>
      </c>
      <c r="G102" s="120">
        <v>45834</v>
      </c>
      <c r="H102" s="120">
        <v>45834</v>
      </c>
      <c r="I102" s="120">
        <v>45834</v>
      </c>
      <c r="J102" s="123" t="s">
        <v>24</v>
      </c>
      <c r="K102" s="133">
        <v>2850</v>
      </c>
      <c r="L102" s="112"/>
      <c r="M102" s="112"/>
      <c r="N102" s="112"/>
      <c r="O102" s="112"/>
      <c r="P102" s="113">
        <f t="shared" si="1"/>
        <v>2850</v>
      </c>
      <c r="Q102" s="118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ht="15.75" customHeight="1" spans="1:28">
      <c r="A103" s="121" t="s">
        <v>18</v>
      </c>
      <c r="B103" s="97" t="s">
        <v>324</v>
      </c>
      <c r="C103" s="97" t="s">
        <v>67</v>
      </c>
      <c r="D103" s="97" t="s">
        <v>174</v>
      </c>
      <c r="E103" s="97" t="s">
        <v>175</v>
      </c>
      <c r="F103" s="97" t="s">
        <v>325</v>
      </c>
      <c r="G103" s="120">
        <v>45841</v>
      </c>
      <c r="H103" s="120">
        <v>45841</v>
      </c>
      <c r="I103" s="120">
        <v>45841</v>
      </c>
      <c r="J103" s="123" t="s">
        <v>24</v>
      </c>
      <c r="K103" s="97">
        <v>3300</v>
      </c>
      <c r="L103" s="112"/>
      <c r="M103" s="97"/>
      <c r="N103" s="97"/>
      <c r="O103" s="97"/>
      <c r="P103" s="135">
        <f t="shared" si="1"/>
        <v>3300</v>
      </c>
      <c r="Q103" s="140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ht="15.75" customHeight="1" spans="1:28">
      <c r="A104" s="121" t="s">
        <v>18</v>
      </c>
      <c r="B104" s="97" t="s">
        <v>326</v>
      </c>
      <c r="C104" s="97" t="s">
        <v>269</v>
      </c>
      <c r="D104" s="97" t="s">
        <v>327</v>
      </c>
      <c r="E104" s="97" t="s">
        <v>48</v>
      </c>
      <c r="F104" s="97" t="s">
        <v>328</v>
      </c>
      <c r="G104" s="98">
        <v>45847</v>
      </c>
      <c r="H104" s="98">
        <v>45847</v>
      </c>
      <c r="I104" s="98">
        <v>45847</v>
      </c>
      <c r="J104" s="115"/>
      <c r="K104" s="97"/>
      <c r="L104" s="112"/>
      <c r="M104" s="97"/>
      <c r="N104" s="97"/>
      <c r="O104" s="97"/>
      <c r="P104" s="135" t="str">
        <f t="shared" si="1"/>
        <v/>
      </c>
      <c r="Q104" s="140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ht="15.75" hidden="1" customHeight="1" spans="1:28">
      <c r="A105" s="122" t="s">
        <v>329</v>
      </c>
      <c r="B105" s="123" t="s">
        <v>330</v>
      </c>
      <c r="C105" s="124" t="s">
        <v>67</v>
      </c>
      <c r="D105" s="124" t="s">
        <v>331</v>
      </c>
      <c r="E105" s="124" t="s">
        <v>332</v>
      </c>
      <c r="F105" s="125" t="s">
        <v>333</v>
      </c>
      <c r="G105" s="120">
        <v>45848</v>
      </c>
      <c r="H105" s="126"/>
      <c r="I105" s="126"/>
      <c r="J105" s="136"/>
      <c r="K105" s="137"/>
      <c r="L105" s="138"/>
      <c r="M105" s="136"/>
      <c r="N105" s="136"/>
      <c r="O105" s="136"/>
      <c r="P105" s="135" t="str">
        <f t="shared" si="1"/>
        <v/>
      </c>
      <c r="Q105" s="14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hidden="1" customHeight="1" spans="1:28">
      <c r="A106" s="122" t="s">
        <v>329</v>
      </c>
      <c r="B106" s="123" t="s">
        <v>334</v>
      </c>
      <c r="C106" s="124" t="s">
        <v>67</v>
      </c>
      <c r="D106" s="124" t="s">
        <v>117</v>
      </c>
      <c r="E106" s="124" t="s">
        <v>118</v>
      </c>
      <c r="F106" s="127" t="s">
        <v>335</v>
      </c>
      <c r="G106" s="120">
        <v>45847</v>
      </c>
      <c r="H106" s="126"/>
      <c r="I106" s="126"/>
      <c r="J106" s="136"/>
      <c r="K106" s="137"/>
      <c r="L106" s="138"/>
      <c r="M106" s="136"/>
      <c r="N106" s="136"/>
      <c r="O106" s="136"/>
      <c r="P106" s="135" t="str">
        <f t="shared" si="1"/>
        <v/>
      </c>
      <c r="Q106" s="14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hidden="1" customHeight="1" spans="1:28">
      <c r="A107" s="122" t="s">
        <v>336</v>
      </c>
      <c r="B107" s="123" t="s">
        <v>337</v>
      </c>
      <c r="C107" s="124" t="s">
        <v>67</v>
      </c>
      <c r="D107" s="124" t="s">
        <v>338</v>
      </c>
      <c r="E107" s="124" t="s">
        <v>118</v>
      </c>
      <c r="F107" s="124" t="s">
        <v>339</v>
      </c>
      <c r="G107" s="120">
        <v>45845</v>
      </c>
      <c r="H107" s="120">
        <v>45857</v>
      </c>
      <c r="I107" s="120">
        <v>45857</v>
      </c>
      <c r="J107" s="123" t="s">
        <v>24</v>
      </c>
      <c r="K107" s="135">
        <v>3000</v>
      </c>
      <c r="L107" s="138"/>
      <c r="M107" s="136"/>
      <c r="N107" s="136"/>
      <c r="O107" s="136"/>
      <c r="P107" s="135">
        <f t="shared" si="1"/>
        <v>3000</v>
      </c>
      <c r="Q107" s="14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hidden="1" customHeight="1" spans="1:28">
      <c r="A108" s="122" t="s">
        <v>336</v>
      </c>
      <c r="B108" s="123" t="s">
        <v>340</v>
      </c>
      <c r="C108" s="124" t="s">
        <v>341</v>
      </c>
      <c r="D108" s="124" t="s">
        <v>342</v>
      </c>
      <c r="E108" s="124" t="s">
        <v>343</v>
      </c>
      <c r="F108" s="124" t="s">
        <v>344</v>
      </c>
      <c r="G108" s="126">
        <v>45849</v>
      </c>
      <c r="H108" s="126">
        <v>45862</v>
      </c>
      <c r="I108" s="126">
        <v>45862</v>
      </c>
      <c r="J108" s="123" t="s">
        <v>24</v>
      </c>
      <c r="K108" s="135">
        <v>29500</v>
      </c>
      <c r="L108" s="138"/>
      <c r="M108" s="136"/>
      <c r="N108" s="136"/>
      <c r="O108" s="136"/>
      <c r="P108" s="135">
        <f t="shared" si="1"/>
        <v>29500</v>
      </c>
      <c r="Q108" s="14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hidden="1" customHeight="1" spans="1:28">
      <c r="A109" s="122" t="s">
        <v>329</v>
      </c>
      <c r="B109" s="128" t="s">
        <v>345</v>
      </c>
      <c r="C109" s="124" t="s">
        <v>67</v>
      </c>
      <c r="D109" s="124" t="s">
        <v>68</v>
      </c>
      <c r="E109" s="124" t="s">
        <v>144</v>
      </c>
      <c r="F109" s="124" t="s">
        <v>346</v>
      </c>
      <c r="G109" s="120">
        <v>45845</v>
      </c>
      <c r="H109" s="126"/>
      <c r="I109" s="126"/>
      <c r="J109" s="128"/>
      <c r="K109" s="139"/>
      <c r="L109" s="136"/>
      <c r="M109" s="136"/>
      <c r="N109" s="136"/>
      <c r="O109" s="136"/>
      <c r="P109" s="135" t="str">
        <f t="shared" si="1"/>
        <v/>
      </c>
      <c r="Q109" s="142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ht="15.75" hidden="1" customHeight="1" spans="1:28">
      <c r="A110" s="122" t="s">
        <v>336</v>
      </c>
      <c r="B110" s="128" t="s">
        <v>347</v>
      </c>
      <c r="C110" s="124" t="s">
        <v>67</v>
      </c>
      <c r="D110" s="124" t="s">
        <v>348</v>
      </c>
      <c r="E110" s="124" t="s">
        <v>349</v>
      </c>
      <c r="F110" s="124" t="s">
        <v>350</v>
      </c>
      <c r="G110" s="120">
        <v>45845</v>
      </c>
      <c r="H110" s="126">
        <v>45849</v>
      </c>
      <c r="I110" s="126">
        <v>45849</v>
      </c>
      <c r="J110" s="123" t="s">
        <v>24</v>
      </c>
      <c r="K110" s="139">
        <v>6550</v>
      </c>
      <c r="L110" s="136"/>
      <c r="M110" s="136"/>
      <c r="N110" s="136"/>
      <c r="O110" s="136"/>
      <c r="P110" s="135">
        <f t="shared" si="1"/>
        <v>6550</v>
      </c>
      <c r="Q110" s="142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ht="15.75" customHeight="1" spans="1:28">
      <c r="A111" s="122" t="s">
        <v>18</v>
      </c>
      <c r="B111" s="128" t="s">
        <v>351</v>
      </c>
      <c r="C111" s="124" t="s">
        <v>67</v>
      </c>
      <c r="D111" s="124" t="s">
        <v>352</v>
      </c>
      <c r="E111" s="124" t="s">
        <v>353</v>
      </c>
      <c r="F111" s="124" t="s">
        <v>354</v>
      </c>
      <c r="G111" s="120">
        <v>45845</v>
      </c>
      <c r="H111" s="120">
        <v>45857</v>
      </c>
      <c r="I111" s="120">
        <v>45857</v>
      </c>
      <c r="J111" s="123" t="s">
        <v>24</v>
      </c>
      <c r="K111" s="139">
        <v>517000</v>
      </c>
      <c r="L111" s="136"/>
      <c r="M111" s="136"/>
      <c r="N111" s="136"/>
      <c r="O111" s="136"/>
      <c r="P111" s="135">
        <f t="shared" si="1"/>
        <v>517000</v>
      </c>
      <c r="Q111" s="142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ht="15.75" hidden="1" customHeight="1" spans="1:28">
      <c r="A112" s="122" t="s">
        <v>329</v>
      </c>
      <c r="B112" s="128" t="s">
        <v>355</v>
      </c>
      <c r="C112" s="124" t="s">
        <v>67</v>
      </c>
      <c r="D112" s="124" t="s">
        <v>228</v>
      </c>
      <c r="E112" s="124" t="s">
        <v>356</v>
      </c>
      <c r="F112" s="127" t="s">
        <v>357</v>
      </c>
      <c r="G112" s="120">
        <v>45846</v>
      </c>
      <c r="H112" s="120">
        <v>45855</v>
      </c>
      <c r="I112" s="120">
        <v>45855</v>
      </c>
      <c r="J112" s="123" t="s">
        <v>24</v>
      </c>
      <c r="K112" s="139">
        <v>63500</v>
      </c>
      <c r="L112" s="136"/>
      <c r="M112" s="136"/>
      <c r="N112" s="136"/>
      <c r="O112" s="136"/>
      <c r="P112" s="135">
        <f t="shared" si="1"/>
        <v>63500</v>
      </c>
      <c r="Q112" s="142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5.75" hidden="1" customHeight="1" spans="1:28">
      <c r="A113" s="122" t="s">
        <v>329</v>
      </c>
      <c r="B113" s="128" t="s">
        <v>358</v>
      </c>
      <c r="C113" s="124" t="s">
        <v>67</v>
      </c>
      <c r="D113" s="124" t="s">
        <v>359</v>
      </c>
      <c r="E113" s="124" t="s">
        <v>360</v>
      </c>
      <c r="F113" s="129" t="s">
        <v>361</v>
      </c>
      <c r="G113" s="120">
        <v>45848</v>
      </c>
      <c r="H113" s="120">
        <v>45869</v>
      </c>
      <c r="I113" s="120">
        <v>45855</v>
      </c>
      <c r="J113" s="123" t="s">
        <v>24</v>
      </c>
      <c r="K113" s="139">
        <v>165000</v>
      </c>
      <c r="L113" s="136"/>
      <c r="M113" s="136"/>
      <c r="N113" s="136"/>
      <c r="O113" s="136"/>
      <c r="P113" s="135">
        <f t="shared" si="1"/>
        <v>165000</v>
      </c>
      <c r="Q113" s="142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ht="15.75" hidden="1" customHeight="1" spans="1:28">
      <c r="A114" s="122" t="s">
        <v>329</v>
      </c>
      <c r="B114" s="128" t="s">
        <v>362</v>
      </c>
      <c r="C114" s="124" t="s">
        <v>67</v>
      </c>
      <c r="D114" s="124" t="s">
        <v>68</v>
      </c>
      <c r="E114" s="124" t="s">
        <v>69</v>
      </c>
      <c r="F114" s="124" t="s">
        <v>363</v>
      </c>
      <c r="G114" s="120">
        <v>45848</v>
      </c>
      <c r="H114" s="120">
        <v>45856</v>
      </c>
      <c r="I114" s="120">
        <v>45856</v>
      </c>
      <c r="J114" s="123" t="s">
        <v>24</v>
      </c>
      <c r="K114" s="139">
        <v>2250</v>
      </c>
      <c r="L114" s="136"/>
      <c r="M114" s="136"/>
      <c r="N114" s="136"/>
      <c r="O114" s="136"/>
      <c r="P114" s="135">
        <f t="shared" si="1"/>
        <v>2250</v>
      </c>
      <c r="Q114" s="142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ht="15.75" hidden="1" customHeight="1" spans="1:28">
      <c r="A115" s="122" t="s">
        <v>336</v>
      </c>
      <c r="B115" s="128" t="s">
        <v>364</v>
      </c>
      <c r="C115" s="124" t="s">
        <v>67</v>
      </c>
      <c r="D115" s="124" t="s">
        <v>365</v>
      </c>
      <c r="E115" s="124" t="s">
        <v>28</v>
      </c>
      <c r="F115" s="130" t="s">
        <v>366</v>
      </c>
      <c r="G115" s="120">
        <v>45845</v>
      </c>
      <c r="H115" s="126">
        <v>45849</v>
      </c>
      <c r="I115" s="126">
        <v>45849</v>
      </c>
      <c r="J115" s="123" t="s">
        <v>24</v>
      </c>
      <c r="K115" s="139">
        <v>11000</v>
      </c>
      <c r="L115" s="136"/>
      <c r="M115" s="136"/>
      <c r="N115" s="136"/>
      <c r="O115" s="136"/>
      <c r="P115" s="135">
        <f t="shared" si="1"/>
        <v>11000</v>
      </c>
      <c r="Q115" s="142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ht="15.75" customHeight="1" spans="1:28">
      <c r="A116" s="122" t="s">
        <v>18</v>
      </c>
      <c r="B116" s="128" t="s">
        <v>367</v>
      </c>
      <c r="C116" s="124" t="s">
        <v>67</v>
      </c>
      <c r="D116" s="124" t="s">
        <v>134</v>
      </c>
      <c r="E116" s="124" t="s">
        <v>203</v>
      </c>
      <c r="F116" s="125" t="s">
        <v>368</v>
      </c>
      <c r="G116" s="120">
        <v>45848</v>
      </c>
      <c r="H116" s="120">
        <v>45854</v>
      </c>
      <c r="I116" s="120">
        <v>45854</v>
      </c>
      <c r="J116" s="123" t="s">
        <v>24</v>
      </c>
      <c r="K116" s="139">
        <v>22770</v>
      </c>
      <c r="L116" s="124">
        <v>19000</v>
      </c>
      <c r="M116" s="136"/>
      <c r="N116" s="136"/>
      <c r="O116" s="136"/>
      <c r="P116" s="135">
        <f t="shared" si="1"/>
        <v>19000</v>
      </c>
      <c r="Q116" s="142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ht="15.75" hidden="1" customHeight="1" spans="1:28">
      <c r="A117" s="122" t="s">
        <v>336</v>
      </c>
      <c r="B117" s="128" t="s">
        <v>369</v>
      </c>
      <c r="C117" s="124" t="s">
        <v>67</v>
      </c>
      <c r="D117" s="124" t="s">
        <v>157</v>
      </c>
      <c r="E117" s="124" t="s">
        <v>370</v>
      </c>
      <c r="F117" s="125" t="s">
        <v>371</v>
      </c>
      <c r="G117" s="120">
        <v>45848</v>
      </c>
      <c r="H117" s="120">
        <v>45850</v>
      </c>
      <c r="I117" s="120">
        <v>45850</v>
      </c>
      <c r="J117" s="123" t="s">
        <v>24</v>
      </c>
      <c r="K117" s="139">
        <v>1032</v>
      </c>
      <c r="L117" s="136"/>
      <c r="M117" s="136"/>
      <c r="N117" s="136"/>
      <c r="O117" s="136"/>
      <c r="P117" s="135">
        <f t="shared" si="1"/>
        <v>1032</v>
      </c>
      <c r="Q117" s="142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ht="15.75" hidden="1" customHeight="1" spans="1:28">
      <c r="A118" s="122" t="s">
        <v>336</v>
      </c>
      <c r="B118" s="128" t="s">
        <v>372</v>
      </c>
      <c r="C118" s="124" t="s">
        <v>67</v>
      </c>
      <c r="D118" s="124" t="s">
        <v>157</v>
      </c>
      <c r="E118" s="124" t="s">
        <v>312</v>
      </c>
      <c r="F118" s="125" t="s">
        <v>373</v>
      </c>
      <c r="G118" s="120">
        <v>45848</v>
      </c>
      <c r="H118" s="120">
        <v>45850</v>
      </c>
      <c r="I118" s="120">
        <v>45850</v>
      </c>
      <c r="J118" s="123" t="s">
        <v>24</v>
      </c>
      <c r="K118" s="139">
        <v>4850</v>
      </c>
      <c r="L118" s="136"/>
      <c r="M118" s="136"/>
      <c r="N118" s="136"/>
      <c r="O118" s="136"/>
      <c r="P118" s="135">
        <f t="shared" si="1"/>
        <v>4850</v>
      </c>
      <c r="Q118" s="142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ht="15.75" hidden="1" customHeight="1" spans="1:28">
      <c r="A119" s="122" t="s">
        <v>336</v>
      </c>
      <c r="B119" s="128" t="s">
        <v>374</v>
      </c>
      <c r="C119" s="124" t="s">
        <v>67</v>
      </c>
      <c r="D119" s="124" t="s">
        <v>375</v>
      </c>
      <c r="E119" s="124" t="s">
        <v>376</v>
      </c>
      <c r="F119" s="125" t="s">
        <v>377</v>
      </c>
      <c r="G119" s="126">
        <v>45849</v>
      </c>
      <c r="H119" s="120">
        <v>45989</v>
      </c>
      <c r="I119" s="120">
        <v>45868</v>
      </c>
      <c r="J119" s="123" t="s">
        <v>24</v>
      </c>
      <c r="K119" s="139">
        <v>52300</v>
      </c>
      <c r="L119" s="124">
        <v>21600</v>
      </c>
      <c r="M119" s="136"/>
      <c r="N119" s="136"/>
      <c r="O119" s="136"/>
      <c r="P119" s="135">
        <f t="shared" si="1"/>
        <v>21600</v>
      </c>
      <c r="Q119" s="142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ht="15.75" hidden="1" customHeight="1" spans="1:28">
      <c r="A120" s="122" t="s">
        <v>378</v>
      </c>
      <c r="B120" s="128" t="s">
        <v>379</v>
      </c>
      <c r="C120" s="124" t="s">
        <v>67</v>
      </c>
      <c r="D120" s="124" t="s">
        <v>380</v>
      </c>
      <c r="E120" s="124" t="s">
        <v>381</v>
      </c>
      <c r="F120" s="125" t="s">
        <v>382</v>
      </c>
      <c r="G120" s="120">
        <v>45847</v>
      </c>
      <c r="H120" s="126">
        <v>45856</v>
      </c>
      <c r="I120" s="126">
        <v>45856</v>
      </c>
      <c r="J120" s="123" t="s">
        <v>24</v>
      </c>
      <c r="K120" s="139">
        <v>195000</v>
      </c>
      <c r="L120" s="136"/>
      <c r="M120" s="136"/>
      <c r="N120" s="136"/>
      <c r="O120" s="136"/>
      <c r="P120" s="135">
        <f t="shared" si="1"/>
        <v>195000</v>
      </c>
      <c r="Q120" s="142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ht="15.75" hidden="1" customHeight="1" spans="1:28">
      <c r="A121" s="122" t="s">
        <v>336</v>
      </c>
      <c r="B121" s="128" t="s">
        <v>383</v>
      </c>
      <c r="C121" s="124" t="s">
        <v>67</v>
      </c>
      <c r="D121" s="124" t="s">
        <v>384</v>
      </c>
      <c r="E121" s="124" t="s">
        <v>385</v>
      </c>
      <c r="F121" s="125" t="s">
        <v>386</v>
      </c>
      <c r="G121" s="126">
        <v>45849</v>
      </c>
      <c r="H121" s="126">
        <v>45863</v>
      </c>
      <c r="I121" s="126">
        <v>45863</v>
      </c>
      <c r="J121" s="123" t="s">
        <v>24</v>
      </c>
      <c r="K121" s="139">
        <v>96500</v>
      </c>
      <c r="L121" s="136"/>
      <c r="M121" s="136"/>
      <c r="N121" s="136"/>
      <c r="O121" s="136"/>
      <c r="P121" s="135">
        <f t="shared" si="1"/>
        <v>96500</v>
      </c>
      <c r="Q121" s="142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ht="15.75" hidden="1" customHeight="1" spans="1:28">
      <c r="A122" s="122" t="s">
        <v>329</v>
      </c>
      <c r="B122" s="128" t="s">
        <v>387</v>
      </c>
      <c r="C122" s="124" t="s">
        <v>67</v>
      </c>
      <c r="D122" s="124" t="s">
        <v>265</v>
      </c>
      <c r="E122" s="124" t="s">
        <v>388</v>
      </c>
      <c r="F122" s="125" t="s">
        <v>389</v>
      </c>
      <c r="G122" s="120">
        <v>45848</v>
      </c>
      <c r="H122" s="126"/>
      <c r="I122" s="120"/>
      <c r="J122" s="128"/>
      <c r="K122" s="139"/>
      <c r="L122" s="136"/>
      <c r="M122" s="136"/>
      <c r="N122" s="136"/>
      <c r="O122" s="136"/>
      <c r="P122" s="135" t="str">
        <f t="shared" si="1"/>
        <v/>
      </c>
      <c r="Q122" s="142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ht="15.75" hidden="1" customHeight="1" spans="1:28">
      <c r="A123" s="122" t="s">
        <v>336</v>
      </c>
      <c r="B123" s="128" t="s">
        <v>390</v>
      </c>
      <c r="C123" s="124" t="s">
        <v>67</v>
      </c>
      <c r="D123" s="124" t="s">
        <v>359</v>
      </c>
      <c r="E123" s="124" t="s">
        <v>391</v>
      </c>
      <c r="F123" s="131" t="s">
        <v>392</v>
      </c>
      <c r="G123" s="120">
        <v>45848</v>
      </c>
      <c r="H123" s="126">
        <v>45856</v>
      </c>
      <c r="I123" s="126">
        <v>45855</v>
      </c>
      <c r="J123" s="123" t="s">
        <v>24</v>
      </c>
      <c r="K123" s="139">
        <v>16500</v>
      </c>
      <c r="L123" s="136"/>
      <c r="M123" s="136"/>
      <c r="N123" s="136"/>
      <c r="O123" s="136"/>
      <c r="P123" s="135">
        <f t="shared" si="1"/>
        <v>16500</v>
      </c>
      <c r="Q123" s="142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ht="15.75" hidden="1" customHeight="1" spans="1:28">
      <c r="A124" s="122" t="s">
        <v>329</v>
      </c>
      <c r="B124" s="128" t="s">
        <v>393</v>
      </c>
      <c r="C124" s="124" t="s">
        <v>67</v>
      </c>
      <c r="D124" s="124" t="s">
        <v>394</v>
      </c>
      <c r="E124" s="124" t="s">
        <v>118</v>
      </c>
      <c r="F124" s="127" t="s">
        <v>395</v>
      </c>
      <c r="G124" s="126">
        <v>45849</v>
      </c>
      <c r="H124" s="126"/>
      <c r="I124" s="120"/>
      <c r="J124" s="128"/>
      <c r="K124" s="139"/>
      <c r="L124" s="136"/>
      <c r="M124" s="136"/>
      <c r="N124" s="136"/>
      <c r="O124" s="136"/>
      <c r="P124" s="135" t="str">
        <f t="shared" si="1"/>
        <v/>
      </c>
      <c r="Q124" s="142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ht="15.75" customHeight="1" spans="1:28">
      <c r="A125" s="122" t="s">
        <v>18</v>
      </c>
      <c r="B125" s="128" t="s">
        <v>396</v>
      </c>
      <c r="C125" s="124" t="s">
        <v>67</v>
      </c>
      <c r="D125" s="124" t="s">
        <v>68</v>
      </c>
      <c r="E125" s="124" t="s">
        <v>397</v>
      </c>
      <c r="F125" s="125" t="s">
        <v>398</v>
      </c>
      <c r="G125" s="126">
        <v>45849</v>
      </c>
      <c r="H125" s="120">
        <v>45854</v>
      </c>
      <c r="I125" s="120">
        <v>45854</v>
      </c>
      <c r="J125" s="123" t="s">
        <v>24</v>
      </c>
      <c r="K125" s="139">
        <v>800</v>
      </c>
      <c r="L125" s="136"/>
      <c r="M125" s="136"/>
      <c r="N125" s="136"/>
      <c r="O125" s="136"/>
      <c r="P125" s="135">
        <f t="shared" si="1"/>
        <v>800</v>
      </c>
      <c r="Q125" s="142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ht="15.75" customHeight="1" spans="1:28">
      <c r="A126" s="122" t="s">
        <v>18</v>
      </c>
      <c r="B126" s="128" t="s">
        <v>399</v>
      </c>
      <c r="C126" s="124" t="s">
        <v>67</v>
      </c>
      <c r="D126" s="124" t="s">
        <v>265</v>
      </c>
      <c r="E126" s="124" t="s">
        <v>400</v>
      </c>
      <c r="F126" s="125" t="s">
        <v>401</v>
      </c>
      <c r="G126" s="120">
        <v>45854</v>
      </c>
      <c r="H126" s="126">
        <v>45855</v>
      </c>
      <c r="I126" s="126">
        <v>45855</v>
      </c>
      <c r="J126" s="123" t="s">
        <v>24</v>
      </c>
      <c r="K126" s="139">
        <v>3000</v>
      </c>
      <c r="L126" s="136"/>
      <c r="M126" s="136"/>
      <c r="N126" s="136"/>
      <c r="O126" s="136"/>
      <c r="P126" s="135">
        <f t="shared" si="1"/>
        <v>3000</v>
      </c>
      <c r="Q126" s="142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ht="15.75" hidden="1" customHeight="1" spans="1:28">
      <c r="A127" s="122" t="s">
        <v>336</v>
      </c>
      <c r="B127" s="128" t="s">
        <v>402</v>
      </c>
      <c r="C127" s="124" t="s">
        <v>341</v>
      </c>
      <c r="D127" s="124" t="s">
        <v>403</v>
      </c>
      <c r="E127" s="124" t="s">
        <v>404</v>
      </c>
      <c r="F127" s="125" t="s">
        <v>405</v>
      </c>
      <c r="G127" s="120">
        <v>45854</v>
      </c>
      <c r="H127" s="126">
        <v>45863</v>
      </c>
      <c r="I127" s="126">
        <v>45863</v>
      </c>
      <c r="J127" s="123" t="s">
        <v>50</v>
      </c>
      <c r="K127" s="139">
        <v>39140000</v>
      </c>
      <c r="L127" s="136"/>
      <c r="M127" s="136"/>
      <c r="N127" s="136"/>
      <c r="O127" s="136"/>
      <c r="P127" s="135">
        <f t="shared" si="1"/>
        <v>939360</v>
      </c>
      <c r="Q127" s="142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ht="15.75" customHeight="1" spans="1:28">
      <c r="A128" s="122" t="s">
        <v>18</v>
      </c>
      <c r="B128" s="128" t="s">
        <v>406</v>
      </c>
      <c r="C128" s="124" t="s">
        <v>269</v>
      </c>
      <c r="D128" s="124" t="s">
        <v>327</v>
      </c>
      <c r="E128" s="124" t="s">
        <v>48</v>
      </c>
      <c r="F128" s="125" t="s">
        <v>407</v>
      </c>
      <c r="G128" s="126">
        <v>45856</v>
      </c>
      <c r="H128" s="126">
        <v>45856</v>
      </c>
      <c r="I128" s="126">
        <v>45856</v>
      </c>
      <c r="J128" s="123" t="s">
        <v>50</v>
      </c>
      <c r="K128" s="139" t="s">
        <v>408</v>
      </c>
      <c r="L128" s="136"/>
      <c r="M128" s="136"/>
      <c r="N128" s="136"/>
      <c r="O128" s="136"/>
      <c r="P128" s="135">
        <v>0</v>
      </c>
      <c r="Q128" s="142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ht="15.75" hidden="1" customHeight="1" spans="1:28">
      <c r="A129" s="122" t="s">
        <v>378</v>
      </c>
      <c r="B129" s="128" t="s">
        <v>409</v>
      </c>
      <c r="C129" s="124" t="s">
        <v>269</v>
      </c>
      <c r="D129" s="124" t="s">
        <v>327</v>
      </c>
      <c r="E129" s="124" t="s">
        <v>48</v>
      </c>
      <c r="F129" s="125" t="s">
        <v>410</v>
      </c>
      <c r="G129" s="126">
        <v>45856</v>
      </c>
      <c r="H129" s="126">
        <v>45856</v>
      </c>
      <c r="I129" s="126">
        <v>45856</v>
      </c>
      <c r="J129" s="123" t="s">
        <v>50</v>
      </c>
      <c r="K129" s="139" t="s">
        <v>411</v>
      </c>
      <c r="L129" s="136"/>
      <c r="M129" s="136"/>
      <c r="N129" s="136"/>
      <c r="O129" s="136"/>
      <c r="P129" s="135" t="e">
        <f t="shared" ref="P129:P170" si="2">IF(J129="€",IF(O129&lt;&gt;"",O129,IF(N129&lt;&gt;"",N129,IF(M129&lt;&gt;"",M129,IF(L129&lt;&gt;"",L129,IF(K129&lt;&gt;"",K129,""))))),IF(J129="$",IF(O129&lt;&gt;"",O129,IF(N129&lt;&gt;"",N129,IF(M129&lt;&gt;"",M129,IF(L129&lt;&gt;"",L129,IF(K129&lt;&gt;"",K129,"")))))*0.93,IF(J129="TRY",IF(O129&lt;&gt;"",O129,IF(N129&lt;&gt;"",N129,IF(M129&lt;&gt;"",M129,IF(L129&lt;&gt;"",L129,IF(K129&lt;&gt;"",K129,"")))))*0.024,"")))</f>
        <v>#VALUE!</v>
      </c>
      <c r="Q129" s="142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ht="15.75" customHeight="1" spans="1:28">
      <c r="A130" s="122" t="s">
        <v>18</v>
      </c>
      <c r="B130" s="128" t="s">
        <v>409</v>
      </c>
      <c r="C130" s="124" t="s">
        <v>269</v>
      </c>
      <c r="D130" s="124" t="s">
        <v>327</v>
      </c>
      <c r="E130" s="124" t="s">
        <v>48</v>
      </c>
      <c r="F130" s="125" t="s">
        <v>412</v>
      </c>
      <c r="G130" s="126">
        <v>45856</v>
      </c>
      <c r="H130" s="126">
        <v>45856</v>
      </c>
      <c r="I130" s="126">
        <v>45856</v>
      </c>
      <c r="J130" s="123" t="s">
        <v>50</v>
      </c>
      <c r="K130" s="139" t="s">
        <v>413</v>
      </c>
      <c r="L130" s="136"/>
      <c r="M130" s="136"/>
      <c r="N130" s="136"/>
      <c r="O130" s="136"/>
      <c r="P130" s="135">
        <v>0</v>
      </c>
      <c r="Q130" s="142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ht="15.75" customHeight="1" spans="1:28">
      <c r="A131" s="122" t="s">
        <v>18</v>
      </c>
      <c r="B131" s="128" t="s">
        <v>414</v>
      </c>
      <c r="C131" s="124" t="s">
        <v>269</v>
      </c>
      <c r="D131" s="124" t="s">
        <v>327</v>
      </c>
      <c r="E131" s="124" t="s">
        <v>48</v>
      </c>
      <c r="F131" s="125" t="s">
        <v>415</v>
      </c>
      <c r="G131" s="126">
        <v>45856</v>
      </c>
      <c r="H131" s="126">
        <v>45856</v>
      </c>
      <c r="I131" s="126">
        <v>45856</v>
      </c>
      <c r="J131" s="123" t="s">
        <v>50</v>
      </c>
      <c r="K131" s="139" t="s">
        <v>416</v>
      </c>
      <c r="L131" s="136"/>
      <c r="M131" s="136"/>
      <c r="N131" s="136"/>
      <c r="O131" s="136"/>
      <c r="P131" s="135">
        <v>0</v>
      </c>
      <c r="Q131" s="142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ht="15.75" customHeight="1" spans="1:28">
      <c r="A132" s="122" t="s">
        <v>18</v>
      </c>
      <c r="B132" s="128" t="s">
        <v>417</v>
      </c>
      <c r="C132" s="124" t="s">
        <v>269</v>
      </c>
      <c r="D132" s="124" t="s">
        <v>327</v>
      </c>
      <c r="E132" s="124" t="s">
        <v>418</v>
      </c>
      <c r="F132" s="125" t="s">
        <v>419</v>
      </c>
      <c r="G132" s="126">
        <v>45863</v>
      </c>
      <c r="H132" s="126">
        <v>45863</v>
      </c>
      <c r="I132" s="126">
        <v>45863</v>
      </c>
      <c r="J132" s="123" t="s">
        <v>50</v>
      </c>
      <c r="K132" s="139" t="s">
        <v>420</v>
      </c>
      <c r="L132" s="136"/>
      <c r="M132" s="136"/>
      <c r="N132" s="136"/>
      <c r="O132" s="136"/>
      <c r="P132" s="135">
        <v>0</v>
      </c>
      <c r="Q132" s="142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ht="15.75" customHeight="1" spans="1:28">
      <c r="A133" s="122" t="s">
        <v>18</v>
      </c>
      <c r="B133" s="123" t="s">
        <v>421</v>
      </c>
      <c r="C133" s="119" t="s">
        <v>67</v>
      </c>
      <c r="D133" s="119" t="s">
        <v>174</v>
      </c>
      <c r="E133" s="119" t="s">
        <v>175</v>
      </c>
      <c r="F133" s="119" t="s">
        <v>422</v>
      </c>
      <c r="G133" s="120">
        <v>45859</v>
      </c>
      <c r="H133" s="120">
        <v>45859</v>
      </c>
      <c r="I133" s="120">
        <v>45859</v>
      </c>
      <c r="J133" s="123" t="s">
        <v>24</v>
      </c>
      <c r="K133" s="157">
        <v>3600</v>
      </c>
      <c r="L133" s="158"/>
      <c r="M133" s="158"/>
      <c r="N133" s="158"/>
      <c r="O133" s="158"/>
      <c r="P133" s="135">
        <f t="shared" si="2"/>
        <v>3600</v>
      </c>
      <c r="Q133" s="160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ht="15.75" customHeight="1" spans="1:28">
      <c r="A134" s="122" t="s">
        <v>18</v>
      </c>
      <c r="B134" s="123" t="s">
        <v>423</v>
      </c>
      <c r="C134" s="119" t="s">
        <v>67</v>
      </c>
      <c r="D134" s="119" t="s">
        <v>424</v>
      </c>
      <c r="E134" s="119" t="s">
        <v>425</v>
      </c>
      <c r="F134" s="119" t="s">
        <v>94</v>
      </c>
      <c r="G134" s="120">
        <v>45859</v>
      </c>
      <c r="H134" s="120">
        <v>45859</v>
      </c>
      <c r="I134" s="120">
        <v>45859</v>
      </c>
      <c r="J134" s="123" t="s">
        <v>24</v>
      </c>
      <c r="K134" s="157">
        <v>19</v>
      </c>
      <c r="L134" s="158"/>
      <c r="M134" s="158"/>
      <c r="N134" s="158"/>
      <c r="O134" s="158"/>
      <c r="P134" s="135">
        <f t="shared" si="2"/>
        <v>19</v>
      </c>
      <c r="Q134" s="160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ht="15.75" customHeight="1" spans="1:28">
      <c r="A135" s="122" t="s">
        <v>18</v>
      </c>
      <c r="B135" s="119" t="s">
        <v>426</v>
      </c>
      <c r="C135" s="119" t="s">
        <v>67</v>
      </c>
      <c r="D135" s="119" t="s">
        <v>427</v>
      </c>
      <c r="E135" s="119" t="s">
        <v>428</v>
      </c>
      <c r="F135" s="119" t="s">
        <v>429</v>
      </c>
      <c r="G135" s="120">
        <v>45867</v>
      </c>
      <c r="H135" s="120">
        <v>45867</v>
      </c>
      <c r="I135" s="120">
        <v>45867</v>
      </c>
      <c r="J135" s="123" t="s">
        <v>24</v>
      </c>
      <c r="K135" s="157">
        <v>2690</v>
      </c>
      <c r="L135" s="158"/>
      <c r="M135" s="158"/>
      <c r="N135" s="158"/>
      <c r="O135" s="158"/>
      <c r="P135" s="135">
        <f t="shared" si="2"/>
        <v>2690</v>
      </c>
      <c r="Q135" s="160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ht="15.75" customHeight="1" spans="1:28">
      <c r="A136" s="122" t="s">
        <v>18</v>
      </c>
      <c r="B136" s="119" t="s">
        <v>430</v>
      </c>
      <c r="C136" s="119" t="s">
        <v>67</v>
      </c>
      <c r="D136" s="119" t="s">
        <v>427</v>
      </c>
      <c r="E136" s="119" t="s">
        <v>428</v>
      </c>
      <c r="F136" s="119" t="s">
        <v>431</v>
      </c>
      <c r="G136" s="120">
        <v>45868</v>
      </c>
      <c r="H136" s="120">
        <v>45869</v>
      </c>
      <c r="I136" s="120">
        <v>45869</v>
      </c>
      <c r="J136" s="123" t="s">
        <v>24</v>
      </c>
      <c r="K136" s="157">
        <v>120</v>
      </c>
      <c r="L136" s="158"/>
      <c r="M136" s="158"/>
      <c r="N136" s="158"/>
      <c r="O136" s="158"/>
      <c r="P136" s="135">
        <f t="shared" si="2"/>
        <v>120</v>
      </c>
      <c r="Q136" s="160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ht="15.75" customHeight="1" spans="1:28">
      <c r="A137" s="122" t="s">
        <v>18</v>
      </c>
      <c r="B137" s="119" t="s">
        <v>432</v>
      </c>
      <c r="C137" s="119" t="s">
        <v>67</v>
      </c>
      <c r="D137" s="119" t="s">
        <v>174</v>
      </c>
      <c r="E137" s="143" t="s">
        <v>433</v>
      </c>
      <c r="F137" s="119" t="s">
        <v>434</v>
      </c>
      <c r="G137" s="120">
        <v>45870</v>
      </c>
      <c r="H137" s="120">
        <v>45871</v>
      </c>
      <c r="I137" s="120">
        <v>45871</v>
      </c>
      <c r="J137" s="123" t="s">
        <v>24</v>
      </c>
      <c r="K137" s="157">
        <v>12750</v>
      </c>
      <c r="L137" s="158"/>
      <c r="M137" s="158"/>
      <c r="N137" s="158"/>
      <c r="O137" s="158"/>
      <c r="P137" s="135">
        <f t="shared" si="2"/>
        <v>12750</v>
      </c>
      <c r="Q137" s="160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ht="15.75" customHeight="1" spans="1:28">
      <c r="A138" s="122" t="s">
        <v>18</v>
      </c>
      <c r="B138" s="119" t="s">
        <v>435</v>
      </c>
      <c r="C138" s="119" t="s">
        <v>67</v>
      </c>
      <c r="D138" s="119" t="s">
        <v>174</v>
      </c>
      <c r="E138" s="119" t="s">
        <v>175</v>
      </c>
      <c r="F138" s="119" t="s">
        <v>436</v>
      </c>
      <c r="G138" s="120">
        <v>45870</v>
      </c>
      <c r="H138" s="120">
        <v>45870</v>
      </c>
      <c r="I138" s="120">
        <v>45870</v>
      </c>
      <c r="J138" s="123" t="s">
        <v>24</v>
      </c>
      <c r="K138" s="157">
        <v>1200</v>
      </c>
      <c r="L138" s="158"/>
      <c r="M138" s="158"/>
      <c r="N138" s="158"/>
      <c r="O138" s="158"/>
      <c r="P138" s="135">
        <f t="shared" si="2"/>
        <v>1200</v>
      </c>
      <c r="Q138" s="160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ht="15.75" customHeight="1" spans="1:28">
      <c r="A139" s="122" t="s">
        <v>18</v>
      </c>
      <c r="B139" s="119" t="s">
        <v>437</v>
      </c>
      <c r="C139" s="119" t="s">
        <v>438</v>
      </c>
      <c r="D139" s="119" t="s">
        <v>439</v>
      </c>
      <c r="E139" s="119" t="s">
        <v>440</v>
      </c>
      <c r="F139" s="119" t="s">
        <v>441</v>
      </c>
      <c r="G139" s="120">
        <v>45874</v>
      </c>
      <c r="H139" s="120"/>
      <c r="I139" s="120"/>
      <c r="J139" s="123"/>
      <c r="K139" s="157"/>
      <c r="L139" s="158"/>
      <c r="M139" s="158"/>
      <c r="N139" s="158"/>
      <c r="O139" s="158"/>
      <c r="P139" s="135" t="str">
        <f t="shared" si="2"/>
        <v/>
      </c>
      <c r="Q139" s="160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ht="15.75" customHeight="1" spans="1:28">
      <c r="A140" s="122" t="s">
        <v>18</v>
      </c>
      <c r="B140" s="124" t="s">
        <v>442</v>
      </c>
      <c r="C140" s="124" t="s">
        <v>438</v>
      </c>
      <c r="D140" s="124" t="s">
        <v>68</v>
      </c>
      <c r="E140" s="124" t="s">
        <v>443</v>
      </c>
      <c r="F140" s="124" t="s">
        <v>444</v>
      </c>
      <c r="G140" s="120">
        <v>45855</v>
      </c>
      <c r="H140" s="120">
        <v>45875</v>
      </c>
      <c r="I140" s="120">
        <v>45875</v>
      </c>
      <c r="J140" s="123" t="s">
        <v>24</v>
      </c>
      <c r="K140" s="157">
        <v>3811</v>
      </c>
      <c r="L140" s="158"/>
      <c r="M140" s="158"/>
      <c r="N140" s="158"/>
      <c r="O140" s="158"/>
      <c r="P140" s="135">
        <f t="shared" si="2"/>
        <v>3811</v>
      </c>
      <c r="Q140" s="160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ht="15.75" customHeight="1" spans="1:28">
      <c r="A141" s="122" t="s">
        <v>18</v>
      </c>
      <c r="B141" s="119" t="s">
        <v>445</v>
      </c>
      <c r="C141" s="119" t="s">
        <v>438</v>
      </c>
      <c r="D141" s="119" t="s">
        <v>68</v>
      </c>
      <c r="E141" s="119" t="s">
        <v>446</v>
      </c>
      <c r="F141" s="119" t="s">
        <v>447</v>
      </c>
      <c r="G141" s="120">
        <v>45874</v>
      </c>
      <c r="H141" s="120">
        <v>45877</v>
      </c>
      <c r="I141" s="120">
        <v>45877</v>
      </c>
      <c r="J141" s="123" t="s">
        <v>71</v>
      </c>
      <c r="K141" s="157">
        <v>883</v>
      </c>
      <c r="L141" s="158"/>
      <c r="M141" s="158"/>
      <c r="N141" s="158"/>
      <c r="O141" s="158"/>
      <c r="P141" s="135">
        <f t="shared" si="2"/>
        <v>821.19</v>
      </c>
      <c r="Q141" s="160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ht="15.75" customHeight="1" spans="1:28">
      <c r="A142" s="122" t="s">
        <v>18</v>
      </c>
      <c r="B142" s="144" t="s">
        <v>448</v>
      </c>
      <c r="C142" s="144" t="s">
        <v>67</v>
      </c>
      <c r="D142" s="144" t="s">
        <v>449</v>
      </c>
      <c r="E142" s="144" t="s">
        <v>175</v>
      </c>
      <c r="F142" s="144" t="s">
        <v>450</v>
      </c>
      <c r="G142" s="145">
        <v>45880</v>
      </c>
      <c r="H142" s="145">
        <v>45880</v>
      </c>
      <c r="I142" s="145">
        <v>45880</v>
      </c>
      <c r="J142" s="123" t="s">
        <v>24</v>
      </c>
      <c r="K142" s="159">
        <v>1408</v>
      </c>
      <c r="L142" s="160"/>
      <c r="M142" s="160"/>
      <c r="N142" s="160"/>
      <c r="O142" s="160"/>
      <c r="P142" s="135">
        <f t="shared" si="2"/>
        <v>1408</v>
      </c>
      <c r="Q142" s="160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ht="15.75" customHeight="1" spans="1:28">
      <c r="A143" s="122" t="s">
        <v>18</v>
      </c>
      <c r="B143" s="144" t="s">
        <v>451</v>
      </c>
      <c r="C143" s="144" t="s">
        <v>438</v>
      </c>
      <c r="D143" s="144" t="s">
        <v>68</v>
      </c>
      <c r="E143" s="144" t="s">
        <v>446</v>
      </c>
      <c r="F143" s="144" t="s">
        <v>452</v>
      </c>
      <c r="G143" s="145">
        <v>45881</v>
      </c>
      <c r="H143" s="145"/>
      <c r="I143" s="145"/>
      <c r="J143" s="88"/>
      <c r="K143" s="159"/>
      <c r="L143" s="160"/>
      <c r="M143" s="160"/>
      <c r="N143" s="160"/>
      <c r="O143" s="160"/>
      <c r="P143" s="135" t="str">
        <f t="shared" si="2"/>
        <v/>
      </c>
      <c r="Q143" s="160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ht="15.75" customHeight="1" spans="1:28">
      <c r="A144" s="122" t="s">
        <v>18</v>
      </c>
      <c r="B144" s="144" t="s">
        <v>453</v>
      </c>
      <c r="C144" s="144" t="s">
        <v>67</v>
      </c>
      <c r="D144" s="144" t="s">
        <v>206</v>
      </c>
      <c r="E144" s="144" t="s">
        <v>454</v>
      </c>
      <c r="F144" s="144" t="s">
        <v>455</v>
      </c>
      <c r="G144" s="145">
        <v>45881</v>
      </c>
      <c r="H144" s="145">
        <v>45881</v>
      </c>
      <c r="I144" s="145">
        <v>45881</v>
      </c>
      <c r="J144" s="123" t="s">
        <v>50</v>
      </c>
      <c r="K144" s="159">
        <v>150000</v>
      </c>
      <c r="L144" s="160"/>
      <c r="M144" s="160"/>
      <c r="N144" s="160"/>
      <c r="O144" s="160"/>
      <c r="P144" s="135">
        <f t="shared" si="2"/>
        <v>3600</v>
      </c>
      <c r="Q144" s="160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ht="15.75" customHeight="1" spans="1:28">
      <c r="A145" s="122" t="s">
        <v>18</v>
      </c>
      <c r="B145" s="144" t="s">
        <v>456</v>
      </c>
      <c r="C145" s="144" t="s">
        <v>438</v>
      </c>
      <c r="D145" s="144" t="s">
        <v>157</v>
      </c>
      <c r="E145" s="144" t="s">
        <v>158</v>
      </c>
      <c r="F145" s="144" t="s">
        <v>457</v>
      </c>
      <c r="G145" s="145">
        <v>45871</v>
      </c>
      <c r="H145" s="145">
        <v>45882</v>
      </c>
      <c r="I145" s="145">
        <v>45882</v>
      </c>
      <c r="J145" s="88" t="s">
        <v>24</v>
      </c>
      <c r="K145" s="159">
        <v>3500</v>
      </c>
      <c r="L145" s="160"/>
      <c r="M145" s="160"/>
      <c r="N145" s="160"/>
      <c r="O145" s="160"/>
      <c r="P145" s="135">
        <f t="shared" si="2"/>
        <v>3500</v>
      </c>
      <c r="Q145" s="160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ht="15.75" customHeight="1" spans="1:28">
      <c r="A146" s="122" t="s">
        <v>18</v>
      </c>
      <c r="B146" s="144" t="s">
        <v>458</v>
      </c>
      <c r="C146" s="144" t="s">
        <v>438</v>
      </c>
      <c r="D146" s="144" t="s">
        <v>157</v>
      </c>
      <c r="E146" s="144" t="s">
        <v>158</v>
      </c>
      <c r="F146" s="144" t="s">
        <v>459</v>
      </c>
      <c r="G146" s="145">
        <v>45883</v>
      </c>
      <c r="H146" s="145">
        <v>45883</v>
      </c>
      <c r="I146" s="145">
        <v>45883</v>
      </c>
      <c r="J146" s="88" t="s">
        <v>24</v>
      </c>
      <c r="K146" s="159">
        <v>1368</v>
      </c>
      <c r="L146" s="160"/>
      <c r="M146" s="160"/>
      <c r="N146" s="160"/>
      <c r="O146" s="160"/>
      <c r="P146" s="135">
        <f t="shared" si="2"/>
        <v>1368</v>
      </c>
      <c r="Q146" s="160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ht="15.75" customHeight="1" spans="1:28">
      <c r="A147" s="122" t="s">
        <v>18</v>
      </c>
      <c r="B147" s="144" t="s">
        <v>460</v>
      </c>
      <c r="C147" s="144" t="s">
        <v>67</v>
      </c>
      <c r="D147" s="144" t="s">
        <v>461</v>
      </c>
      <c r="E147" s="144" t="s">
        <v>462</v>
      </c>
      <c r="F147" s="144" t="s">
        <v>463</v>
      </c>
      <c r="G147" s="145">
        <v>45881</v>
      </c>
      <c r="H147" s="145">
        <v>45884</v>
      </c>
      <c r="I147" s="145">
        <v>45884</v>
      </c>
      <c r="J147" s="88" t="s">
        <v>24</v>
      </c>
      <c r="K147" s="159">
        <v>6500</v>
      </c>
      <c r="L147" s="160"/>
      <c r="M147" s="160"/>
      <c r="N147" s="160"/>
      <c r="O147" s="160"/>
      <c r="P147" s="135">
        <f t="shared" si="2"/>
        <v>6500</v>
      </c>
      <c r="Q147" s="160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ht="15.75" customHeight="1" spans="1:28">
      <c r="A148" s="122" t="s">
        <v>18</v>
      </c>
      <c r="B148" s="144" t="s">
        <v>464</v>
      </c>
      <c r="C148" s="144" t="s">
        <v>67</v>
      </c>
      <c r="D148" s="144" t="s">
        <v>96</v>
      </c>
      <c r="E148" s="144" t="s">
        <v>175</v>
      </c>
      <c r="F148" s="146" t="s">
        <v>465</v>
      </c>
      <c r="G148" s="145">
        <v>45884</v>
      </c>
      <c r="H148" s="145">
        <v>45884</v>
      </c>
      <c r="I148" s="145">
        <v>45884</v>
      </c>
      <c r="J148" s="88" t="s">
        <v>24</v>
      </c>
      <c r="K148" s="159">
        <v>1408</v>
      </c>
      <c r="L148" s="160"/>
      <c r="M148" s="160"/>
      <c r="N148" s="160"/>
      <c r="O148" s="160"/>
      <c r="P148" s="135">
        <f t="shared" si="2"/>
        <v>1408</v>
      </c>
      <c r="Q148" s="160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ht="15.75" customHeight="1" spans="1:28">
      <c r="A149" s="122" t="s">
        <v>18</v>
      </c>
      <c r="B149" s="144" t="s">
        <v>466</v>
      </c>
      <c r="C149" s="144" t="s">
        <v>67</v>
      </c>
      <c r="D149" s="144" t="s">
        <v>96</v>
      </c>
      <c r="E149" s="144" t="s">
        <v>175</v>
      </c>
      <c r="F149" s="144" t="s">
        <v>467</v>
      </c>
      <c r="G149" s="145">
        <v>45885</v>
      </c>
      <c r="H149" s="145">
        <v>45887</v>
      </c>
      <c r="I149" s="145">
        <v>45887</v>
      </c>
      <c r="J149" s="88" t="s">
        <v>24</v>
      </c>
      <c r="K149" s="159">
        <v>747</v>
      </c>
      <c r="L149" s="160"/>
      <c r="M149" s="160"/>
      <c r="N149" s="160"/>
      <c r="O149" s="160"/>
      <c r="P149" s="135">
        <f t="shared" si="2"/>
        <v>747</v>
      </c>
      <c r="Q149" s="160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ht="15.75" customHeight="1" spans="1:28">
      <c r="A150" s="122" t="s">
        <v>18</v>
      </c>
      <c r="B150" s="144" t="s">
        <v>468</v>
      </c>
      <c r="C150" s="144" t="s">
        <v>89</v>
      </c>
      <c r="D150" s="144" t="s">
        <v>157</v>
      </c>
      <c r="E150" s="144" t="s">
        <v>158</v>
      </c>
      <c r="F150" s="144" t="s">
        <v>469</v>
      </c>
      <c r="G150" s="145">
        <v>45890</v>
      </c>
      <c r="H150" s="145">
        <v>45890</v>
      </c>
      <c r="I150" s="145">
        <v>45890</v>
      </c>
      <c r="J150" s="88" t="s">
        <v>24</v>
      </c>
      <c r="K150" s="159">
        <v>7500</v>
      </c>
      <c r="L150" s="160"/>
      <c r="M150" s="160"/>
      <c r="N150" s="160"/>
      <c r="O150" s="160"/>
      <c r="P150" s="135">
        <f t="shared" si="2"/>
        <v>7500</v>
      </c>
      <c r="Q150" s="160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ht="15.75" customHeight="1" spans="1:28">
      <c r="A151" s="122" t="s">
        <v>18</v>
      </c>
      <c r="B151" s="144" t="s">
        <v>470</v>
      </c>
      <c r="C151" s="144" t="s">
        <v>67</v>
      </c>
      <c r="D151" s="144" t="s">
        <v>174</v>
      </c>
      <c r="E151" s="144" t="s">
        <v>175</v>
      </c>
      <c r="F151" s="144" t="s">
        <v>471</v>
      </c>
      <c r="G151" s="145">
        <v>45896</v>
      </c>
      <c r="H151" s="145">
        <v>45896</v>
      </c>
      <c r="I151" s="145">
        <v>45896</v>
      </c>
      <c r="J151" s="88" t="s">
        <v>24</v>
      </c>
      <c r="K151" s="159">
        <v>1425</v>
      </c>
      <c r="L151" s="160"/>
      <c r="M151" s="160"/>
      <c r="N151" s="160"/>
      <c r="O151" s="160"/>
      <c r="P151" s="135">
        <f t="shared" si="2"/>
        <v>1425</v>
      </c>
      <c r="Q151" s="160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ht="15.75" customHeight="1" spans="1:28">
      <c r="A152" s="122" t="s">
        <v>18</v>
      </c>
      <c r="B152" s="144" t="s">
        <v>472</v>
      </c>
      <c r="C152" s="144" t="s">
        <v>67</v>
      </c>
      <c r="D152" s="144" t="s">
        <v>473</v>
      </c>
      <c r="E152" s="144" t="s">
        <v>474</v>
      </c>
      <c r="F152" s="144" t="s">
        <v>475</v>
      </c>
      <c r="G152" s="145">
        <v>45898</v>
      </c>
      <c r="H152" s="145">
        <v>45898</v>
      </c>
      <c r="I152" s="145">
        <v>45898</v>
      </c>
      <c r="J152" s="88" t="s">
        <v>24</v>
      </c>
      <c r="K152" s="159">
        <v>625</v>
      </c>
      <c r="L152" s="160"/>
      <c r="M152" s="160"/>
      <c r="N152" s="160"/>
      <c r="O152" s="160"/>
      <c r="P152" s="135">
        <f t="shared" si="2"/>
        <v>625</v>
      </c>
      <c r="Q152" s="160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ht="15.75" customHeight="1" spans="1:28">
      <c r="A153" s="122" t="s">
        <v>18</v>
      </c>
      <c r="B153" s="144" t="s">
        <v>476</v>
      </c>
      <c r="C153" s="144" t="s">
        <v>67</v>
      </c>
      <c r="D153" s="144" t="s">
        <v>96</v>
      </c>
      <c r="E153" s="144" t="s">
        <v>175</v>
      </c>
      <c r="F153" s="144" t="s">
        <v>477</v>
      </c>
      <c r="G153" s="145">
        <v>45901</v>
      </c>
      <c r="H153" s="145">
        <v>45901</v>
      </c>
      <c r="I153" s="145">
        <v>45901</v>
      </c>
      <c r="J153" s="88" t="s">
        <v>24</v>
      </c>
      <c r="K153" s="159">
        <v>2859</v>
      </c>
      <c r="L153" s="160"/>
      <c r="M153" s="160"/>
      <c r="N153" s="160"/>
      <c r="O153" s="160"/>
      <c r="P153" s="135">
        <f t="shared" si="2"/>
        <v>2859</v>
      </c>
      <c r="Q153" s="160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ht="15.75" customHeight="1" spans="1:28">
      <c r="A154" s="122" t="s">
        <v>18</v>
      </c>
      <c r="B154" s="144" t="s">
        <v>478</v>
      </c>
      <c r="C154" s="144" t="s">
        <v>67</v>
      </c>
      <c r="D154" s="144" t="s">
        <v>102</v>
      </c>
      <c r="E154" s="144" t="s">
        <v>479</v>
      </c>
      <c r="F154" s="144" t="s">
        <v>480</v>
      </c>
      <c r="G154" s="145">
        <v>45901</v>
      </c>
      <c r="H154" s="145">
        <v>45901</v>
      </c>
      <c r="I154" s="145">
        <v>45901</v>
      </c>
      <c r="J154" s="88" t="s">
        <v>24</v>
      </c>
      <c r="K154" s="159">
        <v>650</v>
      </c>
      <c r="L154" s="160"/>
      <c r="M154" s="160"/>
      <c r="N154" s="160"/>
      <c r="O154" s="160"/>
      <c r="P154" s="135">
        <f t="shared" si="2"/>
        <v>650</v>
      </c>
      <c r="Q154" s="160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ht="15.75" customHeight="1" spans="1:28">
      <c r="A155" s="122" t="s">
        <v>18</v>
      </c>
      <c r="B155" s="144" t="s">
        <v>481</v>
      </c>
      <c r="C155" s="144" t="s">
        <v>341</v>
      </c>
      <c r="D155" s="144" t="s">
        <v>482</v>
      </c>
      <c r="E155" s="144" t="s">
        <v>483</v>
      </c>
      <c r="F155" s="144" t="s">
        <v>484</v>
      </c>
      <c r="G155" s="145">
        <v>45904</v>
      </c>
      <c r="H155" s="145">
        <v>45912</v>
      </c>
      <c r="I155" s="145">
        <v>45912</v>
      </c>
      <c r="J155" s="88" t="s">
        <v>24</v>
      </c>
      <c r="K155" s="159">
        <v>16500</v>
      </c>
      <c r="L155" s="159">
        <v>15500</v>
      </c>
      <c r="M155" s="144">
        <v>15000</v>
      </c>
      <c r="N155" s="160"/>
      <c r="O155" s="160"/>
      <c r="P155" s="135">
        <f t="shared" si="2"/>
        <v>15000</v>
      </c>
      <c r="Q155" s="160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ht="15.75" customHeight="1" spans="1:28">
      <c r="A156" s="122" t="s">
        <v>18</v>
      </c>
      <c r="B156" s="144" t="s">
        <v>485</v>
      </c>
      <c r="C156" s="144" t="s">
        <v>67</v>
      </c>
      <c r="D156" s="144" t="s">
        <v>96</v>
      </c>
      <c r="E156" s="144" t="s">
        <v>175</v>
      </c>
      <c r="F156" s="144" t="s">
        <v>486</v>
      </c>
      <c r="G156" s="145">
        <v>45909</v>
      </c>
      <c r="H156" s="145">
        <v>45910</v>
      </c>
      <c r="I156" s="145">
        <v>45910</v>
      </c>
      <c r="J156" s="88" t="s">
        <v>24</v>
      </c>
      <c r="K156" s="159">
        <v>3061</v>
      </c>
      <c r="L156" s="160"/>
      <c r="M156" s="160"/>
      <c r="N156" s="160"/>
      <c r="O156" s="160"/>
      <c r="P156" s="135">
        <f t="shared" si="2"/>
        <v>3061</v>
      </c>
      <c r="Q156" s="160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ht="15.75" customHeight="1" spans="1:28">
      <c r="A157" s="122" t="s">
        <v>18</v>
      </c>
      <c r="B157" s="144" t="s">
        <v>487</v>
      </c>
      <c r="C157" s="144" t="s">
        <v>67</v>
      </c>
      <c r="D157" s="144" t="s">
        <v>102</v>
      </c>
      <c r="E157" s="144" t="s">
        <v>479</v>
      </c>
      <c r="F157" s="144" t="s">
        <v>488</v>
      </c>
      <c r="G157" s="145">
        <v>45909</v>
      </c>
      <c r="H157" s="145">
        <v>45910</v>
      </c>
      <c r="I157" s="145">
        <v>45910</v>
      </c>
      <c r="J157" s="88" t="s">
        <v>24</v>
      </c>
      <c r="K157" s="159">
        <v>800</v>
      </c>
      <c r="L157" s="160"/>
      <c r="M157" s="160"/>
      <c r="N157" s="160"/>
      <c r="O157" s="160"/>
      <c r="P157" s="135">
        <f t="shared" si="2"/>
        <v>800</v>
      </c>
      <c r="Q157" s="160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ht="15.75" customHeight="1" spans="1:28">
      <c r="A158" s="122" t="s">
        <v>18</v>
      </c>
      <c r="B158" s="144" t="s">
        <v>489</v>
      </c>
      <c r="C158" s="144" t="s">
        <v>67</v>
      </c>
      <c r="D158" s="144" t="s">
        <v>96</v>
      </c>
      <c r="E158" s="144" t="s">
        <v>490</v>
      </c>
      <c r="F158" s="144" t="s">
        <v>491</v>
      </c>
      <c r="G158" s="145">
        <v>45911</v>
      </c>
      <c r="H158" s="145">
        <v>45911</v>
      </c>
      <c r="I158" s="145">
        <v>45911</v>
      </c>
      <c r="J158" s="88" t="s">
        <v>24</v>
      </c>
      <c r="K158" s="159">
        <v>560</v>
      </c>
      <c r="L158" s="160"/>
      <c r="M158" s="160"/>
      <c r="N158" s="160"/>
      <c r="O158" s="160"/>
      <c r="P158" s="135">
        <f t="shared" si="2"/>
        <v>560</v>
      </c>
      <c r="Q158" s="160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ht="15.75" customHeight="1" spans="1:28">
      <c r="A159" s="122" t="s">
        <v>18</v>
      </c>
      <c r="B159" s="144" t="s">
        <v>492</v>
      </c>
      <c r="C159" s="144" t="s">
        <v>67</v>
      </c>
      <c r="D159" s="144" t="s">
        <v>174</v>
      </c>
      <c r="E159" s="144" t="s">
        <v>490</v>
      </c>
      <c r="F159" s="144" t="s">
        <v>493</v>
      </c>
      <c r="G159" s="145">
        <v>45915</v>
      </c>
      <c r="H159" s="145">
        <v>45916</v>
      </c>
      <c r="I159" s="145">
        <v>45916</v>
      </c>
      <c r="J159" s="88" t="s">
        <v>24</v>
      </c>
      <c r="K159" s="159">
        <v>619</v>
      </c>
      <c r="L159" s="160"/>
      <c r="M159" s="160"/>
      <c r="N159" s="160"/>
      <c r="O159" s="160"/>
      <c r="P159" s="135">
        <f t="shared" si="2"/>
        <v>619</v>
      </c>
      <c r="Q159" s="160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ht="15.75" customHeight="1" spans="1:28">
      <c r="A160" s="122" t="s">
        <v>18</v>
      </c>
      <c r="B160" s="144" t="s">
        <v>494</v>
      </c>
      <c r="C160" s="144" t="s">
        <v>67</v>
      </c>
      <c r="D160" s="144" t="s">
        <v>150</v>
      </c>
      <c r="E160" s="144" t="s">
        <v>175</v>
      </c>
      <c r="F160" s="144" t="s">
        <v>495</v>
      </c>
      <c r="G160" s="145">
        <v>45918</v>
      </c>
      <c r="H160" s="145">
        <v>45923</v>
      </c>
      <c r="I160" s="145">
        <v>45923</v>
      </c>
      <c r="J160" s="88" t="s">
        <v>24</v>
      </c>
      <c r="K160" s="159">
        <v>4154</v>
      </c>
      <c r="L160" s="160"/>
      <c r="M160" s="160"/>
      <c r="N160" s="160"/>
      <c r="O160" s="160"/>
      <c r="P160" s="135">
        <f t="shared" si="2"/>
        <v>4154</v>
      </c>
      <c r="Q160" s="160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ht="15.75" customHeight="1" spans="1:28">
      <c r="A161" s="122" t="s">
        <v>18</v>
      </c>
      <c r="B161" s="144" t="s">
        <v>496</v>
      </c>
      <c r="C161" s="144" t="s">
        <v>67</v>
      </c>
      <c r="D161" s="144" t="s">
        <v>150</v>
      </c>
      <c r="E161" s="144" t="s">
        <v>175</v>
      </c>
      <c r="F161" s="144" t="s">
        <v>497</v>
      </c>
      <c r="G161" s="145">
        <v>45924</v>
      </c>
      <c r="H161" s="145">
        <v>45924</v>
      </c>
      <c r="I161" s="145">
        <v>45924</v>
      </c>
      <c r="J161" s="88" t="s">
        <v>24</v>
      </c>
      <c r="K161" s="159">
        <v>480</v>
      </c>
      <c r="L161" s="160"/>
      <c r="M161" s="160"/>
      <c r="N161" s="160"/>
      <c r="O161" s="160"/>
      <c r="P161" s="135">
        <f t="shared" si="2"/>
        <v>480</v>
      </c>
      <c r="Q161" s="160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ht="15.75" customHeight="1" spans="1:28">
      <c r="A162" s="122" t="s">
        <v>18</v>
      </c>
      <c r="B162" s="144" t="s">
        <v>498</v>
      </c>
      <c r="C162" s="144" t="s">
        <v>89</v>
      </c>
      <c r="D162" s="144" t="s">
        <v>150</v>
      </c>
      <c r="E162" s="144" t="s">
        <v>175</v>
      </c>
      <c r="F162" s="144" t="s">
        <v>499</v>
      </c>
      <c r="G162" s="145">
        <v>45926</v>
      </c>
      <c r="H162" s="145">
        <v>45929</v>
      </c>
      <c r="I162" s="145">
        <v>45929</v>
      </c>
      <c r="J162" s="88" t="s">
        <v>24</v>
      </c>
      <c r="K162" s="159">
        <v>8300</v>
      </c>
      <c r="L162" s="160"/>
      <c r="M162" s="160"/>
      <c r="N162" s="33"/>
      <c r="O162" s="33"/>
      <c r="P162" s="135">
        <f t="shared" si="2"/>
        <v>8300</v>
      </c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ht="15.75" customHeight="1" spans="1:28">
      <c r="A163" s="122" t="s">
        <v>18</v>
      </c>
      <c r="B163" s="144" t="s">
        <v>500</v>
      </c>
      <c r="C163" s="144" t="s">
        <v>89</v>
      </c>
      <c r="D163" s="144" t="s">
        <v>150</v>
      </c>
      <c r="E163" s="144" t="s">
        <v>175</v>
      </c>
      <c r="F163" s="147" t="s">
        <v>501</v>
      </c>
      <c r="G163" s="145">
        <v>45926</v>
      </c>
      <c r="H163" s="145">
        <v>45929</v>
      </c>
      <c r="I163" s="145">
        <v>45929</v>
      </c>
      <c r="J163" s="88" t="s">
        <v>24</v>
      </c>
      <c r="K163" s="159">
        <v>5599</v>
      </c>
      <c r="L163" s="160"/>
      <c r="M163" s="160"/>
      <c r="N163" s="33"/>
      <c r="O163" s="33"/>
      <c r="P163" s="135">
        <f t="shared" si="2"/>
        <v>5599</v>
      </c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ht="15.75" customHeight="1" spans="1:28">
      <c r="A164" s="122" t="s">
        <v>18</v>
      </c>
      <c r="B164" s="144" t="s">
        <v>502</v>
      </c>
      <c r="C164" s="144" t="s">
        <v>89</v>
      </c>
      <c r="D164" s="144" t="s">
        <v>150</v>
      </c>
      <c r="E164" s="144" t="s">
        <v>175</v>
      </c>
      <c r="F164" s="144" t="s">
        <v>503</v>
      </c>
      <c r="G164" s="145">
        <v>45926</v>
      </c>
      <c r="H164" s="145">
        <v>45929</v>
      </c>
      <c r="I164" s="145">
        <v>45929</v>
      </c>
      <c r="J164" s="88" t="s">
        <v>24</v>
      </c>
      <c r="K164" s="159">
        <v>4118</v>
      </c>
      <c r="L164" s="160"/>
      <c r="M164" s="160"/>
      <c r="N164" s="33"/>
      <c r="O164" s="33"/>
      <c r="P164" s="135">
        <f t="shared" si="2"/>
        <v>4118</v>
      </c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5.75" customHeight="1" spans="1:28">
      <c r="A165" s="122" t="s">
        <v>18</v>
      </c>
      <c r="B165" s="144" t="s">
        <v>504</v>
      </c>
      <c r="C165" s="144" t="s">
        <v>89</v>
      </c>
      <c r="D165" s="144" t="s">
        <v>150</v>
      </c>
      <c r="E165" s="144" t="s">
        <v>175</v>
      </c>
      <c r="F165" s="144" t="s">
        <v>505</v>
      </c>
      <c r="G165" s="145">
        <v>45929</v>
      </c>
      <c r="H165" s="145">
        <v>45931</v>
      </c>
      <c r="I165" s="145">
        <v>45931</v>
      </c>
      <c r="J165" s="88" t="s">
        <v>24</v>
      </c>
      <c r="K165" s="159">
        <v>5599</v>
      </c>
      <c r="L165" s="160"/>
      <c r="M165" s="160"/>
      <c r="N165" s="33"/>
      <c r="O165" s="33"/>
      <c r="P165" s="135">
        <f t="shared" si="2"/>
        <v>5599</v>
      </c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ht="15.75" customHeight="1" spans="1:28">
      <c r="A166" s="122" t="s">
        <v>18</v>
      </c>
      <c r="B166" s="144" t="s">
        <v>506</v>
      </c>
      <c r="C166" s="144" t="s">
        <v>89</v>
      </c>
      <c r="D166" s="144" t="s">
        <v>174</v>
      </c>
      <c r="E166" s="144" t="s">
        <v>507</v>
      </c>
      <c r="F166" s="144" t="s">
        <v>495</v>
      </c>
      <c r="G166" s="145">
        <v>45933</v>
      </c>
      <c r="H166" s="145">
        <v>45933</v>
      </c>
      <c r="I166" s="145">
        <v>45933</v>
      </c>
      <c r="J166" s="88" t="s">
        <v>24</v>
      </c>
      <c r="K166" s="159">
        <v>3682</v>
      </c>
      <c r="L166" s="160"/>
      <c r="M166" s="160"/>
      <c r="N166" s="33"/>
      <c r="O166" s="33"/>
      <c r="P166" s="135">
        <f t="shared" si="2"/>
        <v>3682</v>
      </c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ht="15.75" customHeight="1" spans="1:28">
      <c r="A167" s="122" t="s">
        <v>18</v>
      </c>
      <c r="B167" s="144" t="s">
        <v>508</v>
      </c>
      <c r="C167" s="144" t="s">
        <v>341</v>
      </c>
      <c r="D167" s="144" t="s">
        <v>424</v>
      </c>
      <c r="E167" s="144" t="s">
        <v>509</v>
      </c>
      <c r="F167" s="144" t="s">
        <v>510</v>
      </c>
      <c r="G167" s="145">
        <v>45929</v>
      </c>
      <c r="H167" s="145">
        <v>45936</v>
      </c>
      <c r="I167" s="145">
        <v>45936</v>
      </c>
      <c r="J167" s="88" t="s">
        <v>24</v>
      </c>
      <c r="K167" s="159">
        <v>360000</v>
      </c>
      <c r="L167" s="159">
        <v>307000</v>
      </c>
      <c r="M167" s="160"/>
      <c r="N167" s="33"/>
      <c r="O167" s="33"/>
      <c r="P167" s="135">
        <f t="shared" si="2"/>
        <v>307000</v>
      </c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ht="15.75" customHeight="1" spans="1:28">
      <c r="A168" s="122" t="s">
        <v>18</v>
      </c>
      <c r="B168" s="144" t="s">
        <v>511</v>
      </c>
      <c r="C168" s="144" t="s">
        <v>341</v>
      </c>
      <c r="D168" s="144" t="s">
        <v>424</v>
      </c>
      <c r="E168" s="144" t="s">
        <v>512</v>
      </c>
      <c r="F168" s="144" t="s">
        <v>513</v>
      </c>
      <c r="G168" s="145">
        <v>45933</v>
      </c>
      <c r="H168" s="145">
        <v>45940</v>
      </c>
      <c r="I168" s="145">
        <v>45940</v>
      </c>
      <c r="J168" s="88" t="s">
        <v>24</v>
      </c>
      <c r="K168" s="159">
        <v>77000</v>
      </c>
      <c r="L168" s="159">
        <v>38000</v>
      </c>
      <c r="M168" s="160"/>
      <c r="N168" s="33"/>
      <c r="O168" s="33"/>
      <c r="P168" s="135">
        <f t="shared" si="2"/>
        <v>38000</v>
      </c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ht="15.75" customHeight="1" spans="1:28">
      <c r="A169" s="122" t="s">
        <v>18</v>
      </c>
      <c r="B169" s="144" t="s">
        <v>514</v>
      </c>
      <c r="C169" s="144" t="s">
        <v>67</v>
      </c>
      <c r="D169" s="144" t="s">
        <v>168</v>
      </c>
      <c r="E169" s="144" t="s">
        <v>147</v>
      </c>
      <c r="F169" s="144" t="s">
        <v>515</v>
      </c>
      <c r="G169" s="145">
        <v>45936</v>
      </c>
      <c r="H169" s="145">
        <v>45936</v>
      </c>
      <c r="I169" s="145">
        <v>45936</v>
      </c>
      <c r="J169" s="88" t="s">
        <v>24</v>
      </c>
      <c r="K169" s="159">
        <v>823</v>
      </c>
      <c r="L169" s="160"/>
      <c r="M169" s="160"/>
      <c r="N169" s="33"/>
      <c r="O169" s="33"/>
      <c r="P169" s="135">
        <f t="shared" si="2"/>
        <v>823</v>
      </c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ht="15.75" customHeight="1" spans="1:28">
      <c r="A170" s="122" t="s">
        <v>18</v>
      </c>
      <c r="B170" s="144" t="s">
        <v>516</v>
      </c>
      <c r="C170" s="144" t="s">
        <v>517</v>
      </c>
      <c r="D170" s="144" t="s">
        <v>518</v>
      </c>
      <c r="E170" s="144" t="s">
        <v>519</v>
      </c>
      <c r="F170" s="144" t="s">
        <v>520</v>
      </c>
      <c r="G170" s="145">
        <v>45950</v>
      </c>
      <c r="H170" s="145">
        <v>45967</v>
      </c>
      <c r="I170" s="145">
        <v>45967</v>
      </c>
      <c r="J170" s="88" t="s">
        <v>24</v>
      </c>
      <c r="K170" s="159">
        <v>300</v>
      </c>
      <c r="L170" s="160"/>
      <c r="M170" s="160"/>
      <c r="N170" s="33"/>
      <c r="O170" s="33"/>
      <c r="P170" s="135">
        <f t="shared" si="2"/>
        <v>300</v>
      </c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ht="15.75" customHeight="1" spans="1:28">
      <c r="A171" s="122" t="s">
        <v>18</v>
      </c>
      <c r="B171" s="144" t="s">
        <v>521</v>
      </c>
      <c r="C171" s="144" t="s">
        <v>341</v>
      </c>
      <c r="D171" s="144" t="s">
        <v>164</v>
      </c>
      <c r="E171" s="144" t="s">
        <v>522</v>
      </c>
      <c r="F171" s="144" t="s">
        <v>523</v>
      </c>
      <c r="G171" s="145">
        <v>45937</v>
      </c>
      <c r="H171" s="145">
        <v>45940</v>
      </c>
      <c r="I171" s="145">
        <v>45940</v>
      </c>
      <c r="J171" s="88" t="s">
        <v>50</v>
      </c>
      <c r="K171" s="159">
        <v>577500</v>
      </c>
      <c r="L171" s="160"/>
      <c r="M171" s="160"/>
      <c r="N171" s="33"/>
      <c r="O171" s="33"/>
      <c r="P171" s="135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ht="15.75" customHeight="1" spans="1:28">
      <c r="A172" s="122" t="s">
        <v>18</v>
      </c>
      <c r="B172" s="144" t="s">
        <v>524</v>
      </c>
      <c r="C172" s="144" t="s">
        <v>67</v>
      </c>
      <c r="D172" s="144" t="s">
        <v>525</v>
      </c>
      <c r="E172" s="144" t="s">
        <v>526</v>
      </c>
      <c r="F172" s="144" t="s">
        <v>527</v>
      </c>
      <c r="G172" s="145">
        <v>45938</v>
      </c>
      <c r="H172" s="145">
        <v>45946</v>
      </c>
      <c r="I172" s="145">
        <v>45946</v>
      </c>
      <c r="J172" s="161" t="s">
        <v>528</v>
      </c>
      <c r="K172" s="159">
        <v>2067095</v>
      </c>
      <c r="L172" s="144">
        <v>1570992</v>
      </c>
      <c r="M172" s="160"/>
      <c r="N172" s="33"/>
      <c r="O172" s="33"/>
      <c r="P172" s="135">
        <v>1800000</v>
      </c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ht="15.75" customHeight="1" spans="1:28">
      <c r="A173" s="148" t="s">
        <v>529</v>
      </c>
      <c r="B173" s="148"/>
      <c r="C173" s="148"/>
      <c r="D173" s="148"/>
      <c r="E173" s="148"/>
      <c r="F173" s="148"/>
      <c r="G173" s="148"/>
      <c r="H173" s="148"/>
      <c r="I173" s="148"/>
      <c r="J173" s="2"/>
      <c r="K173" s="162"/>
      <c r="L173" s="33"/>
      <c r="M173" s="33"/>
      <c r="N173" s="33"/>
      <c r="O173" s="33"/>
      <c r="P173" s="16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ht="15.75" customHeight="1" spans="1:28">
      <c r="A174" s="149" t="s">
        <v>530</v>
      </c>
      <c r="B174" s="150">
        <v>2403601</v>
      </c>
      <c r="C174" s="151" t="s">
        <v>26</v>
      </c>
      <c r="D174" s="151" t="s">
        <v>531</v>
      </c>
      <c r="E174" s="151" t="s">
        <v>532</v>
      </c>
      <c r="F174" s="151" t="s">
        <v>533</v>
      </c>
      <c r="G174" s="152">
        <v>45343</v>
      </c>
      <c r="H174" s="153">
        <v>5271224</v>
      </c>
      <c r="I174" s="152">
        <v>45343</v>
      </c>
      <c r="J174" s="110" t="s">
        <v>24</v>
      </c>
      <c r="K174" s="153">
        <v>5271224</v>
      </c>
      <c r="L174" s="164">
        <v>158200</v>
      </c>
      <c r="M174" s="149" t="s">
        <v>530</v>
      </c>
      <c r="N174" s="33"/>
      <c r="O174" s="33"/>
      <c r="P174" s="164">
        <v>158200</v>
      </c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ht="15.75" customHeight="1" spans="1:28">
      <c r="A175" s="149" t="s">
        <v>530</v>
      </c>
      <c r="B175" s="150" t="s">
        <v>534</v>
      </c>
      <c r="C175" s="151" t="s">
        <v>26</v>
      </c>
      <c r="D175" s="151" t="s">
        <v>359</v>
      </c>
      <c r="E175" s="151" t="s">
        <v>535</v>
      </c>
      <c r="F175" s="151" t="s">
        <v>536</v>
      </c>
      <c r="G175" s="152">
        <v>44955</v>
      </c>
      <c r="H175" s="153">
        <v>1067560</v>
      </c>
      <c r="I175" s="152">
        <v>44955</v>
      </c>
      <c r="J175" s="110" t="s">
        <v>24</v>
      </c>
      <c r="K175" s="153">
        <v>1067560</v>
      </c>
      <c r="L175" s="164">
        <v>52000</v>
      </c>
      <c r="M175" s="149" t="s">
        <v>530</v>
      </c>
      <c r="N175" s="33"/>
      <c r="O175" s="33"/>
      <c r="P175" s="164">
        <v>52000</v>
      </c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ht="15.75" customHeight="1" spans="1:28">
      <c r="A176" s="149" t="s">
        <v>530</v>
      </c>
      <c r="B176" s="150">
        <v>2400301</v>
      </c>
      <c r="C176" s="151" t="s">
        <v>26</v>
      </c>
      <c r="D176" s="151" t="s">
        <v>47</v>
      </c>
      <c r="E176" s="151" t="s">
        <v>48</v>
      </c>
      <c r="F176" s="151" t="s">
        <v>537</v>
      </c>
      <c r="G176" s="152">
        <v>45294</v>
      </c>
      <c r="H176" s="153">
        <v>1441756.5</v>
      </c>
      <c r="I176" s="152">
        <v>45294</v>
      </c>
      <c r="J176" s="110" t="s">
        <v>24</v>
      </c>
      <c r="K176" s="153">
        <v>1441756.5</v>
      </c>
      <c r="L176" s="164">
        <v>44050</v>
      </c>
      <c r="M176" s="149" t="s">
        <v>530</v>
      </c>
      <c r="N176" s="33"/>
      <c r="O176" s="33"/>
      <c r="P176" s="164">
        <v>44050</v>
      </c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ht="15.75" customHeight="1" spans="1:28">
      <c r="A177" s="149" t="s">
        <v>530</v>
      </c>
      <c r="B177" s="150">
        <v>2400302</v>
      </c>
      <c r="C177" s="151" t="s">
        <v>26</v>
      </c>
      <c r="D177" s="151" t="s">
        <v>47</v>
      </c>
      <c r="E177" s="151" t="s">
        <v>48</v>
      </c>
      <c r="F177" s="151" t="s">
        <v>538</v>
      </c>
      <c r="G177" s="152">
        <v>45293</v>
      </c>
      <c r="H177" s="153">
        <v>4716405.46</v>
      </c>
      <c r="I177" s="152">
        <v>45293</v>
      </c>
      <c r="J177" s="110" t="s">
        <v>24</v>
      </c>
      <c r="K177" s="153">
        <v>4716405.46</v>
      </c>
      <c r="L177" s="164">
        <v>144542</v>
      </c>
      <c r="M177" s="149" t="s">
        <v>530</v>
      </c>
      <c r="N177" s="33"/>
      <c r="O177" s="33"/>
      <c r="P177" s="164">
        <v>144542</v>
      </c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ht="15.75" customHeight="1" spans="1:28">
      <c r="A178" s="154" t="s">
        <v>530</v>
      </c>
      <c r="B178" s="150">
        <v>2400303</v>
      </c>
      <c r="C178" s="151" t="s">
        <v>26</v>
      </c>
      <c r="D178" s="151" t="s">
        <v>47</v>
      </c>
      <c r="E178" s="151" t="s">
        <v>48</v>
      </c>
      <c r="F178" s="151" t="s">
        <v>539</v>
      </c>
      <c r="G178" s="152">
        <v>45293</v>
      </c>
      <c r="H178" s="153">
        <v>4981165.28</v>
      </c>
      <c r="I178" s="152">
        <v>45293</v>
      </c>
      <c r="J178" s="110" t="s">
        <v>24</v>
      </c>
      <c r="K178" s="153">
        <v>4981165.28</v>
      </c>
      <c r="L178" s="164">
        <v>152656</v>
      </c>
      <c r="M178" s="154" t="s">
        <v>530</v>
      </c>
      <c r="N178" s="33"/>
      <c r="O178" s="33"/>
      <c r="P178" s="164">
        <v>152656</v>
      </c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ht="15.75" customHeight="1" spans="1:28">
      <c r="A179" s="155" t="s">
        <v>530</v>
      </c>
      <c r="B179" s="150">
        <v>2400501</v>
      </c>
      <c r="C179" s="151" t="s">
        <v>26</v>
      </c>
      <c r="D179" s="151" t="s">
        <v>359</v>
      </c>
      <c r="E179" s="151" t="s">
        <v>540</v>
      </c>
      <c r="F179" s="151" t="s">
        <v>541</v>
      </c>
      <c r="G179" s="152">
        <v>45299</v>
      </c>
      <c r="H179" s="153">
        <v>2669920</v>
      </c>
      <c r="I179" s="152">
        <v>45299</v>
      </c>
      <c r="J179" s="110" t="s">
        <v>24</v>
      </c>
      <c r="K179" s="153">
        <v>2669920</v>
      </c>
      <c r="L179" s="164">
        <v>82000</v>
      </c>
      <c r="M179" s="155" t="s">
        <v>530</v>
      </c>
      <c r="N179" s="33"/>
      <c r="O179" s="33"/>
      <c r="P179" s="164">
        <v>82000</v>
      </c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ht="15.75" customHeight="1" spans="1:28">
      <c r="A180" s="149" t="s">
        <v>530</v>
      </c>
      <c r="B180" s="150">
        <v>2400304</v>
      </c>
      <c r="C180" s="151" t="s">
        <v>26</v>
      </c>
      <c r="D180" s="151" t="s">
        <v>47</v>
      </c>
      <c r="E180" s="151" t="s">
        <v>542</v>
      </c>
      <c r="F180" s="151" t="s">
        <v>543</v>
      </c>
      <c r="G180" s="152">
        <v>45300</v>
      </c>
      <c r="H180" s="153">
        <v>35500</v>
      </c>
      <c r="I180" s="152">
        <v>45300</v>
      </c>
      <c r="J180" s="110" t="s">
        <v>50</v>
      </c>
      <c r="K180" s="153">
        <v>35500</v>
      </c>
      <c r="L180" s="164">
        <v>1085.62691131498</v>
      </c>
      <c r="M180" s="149" t="s">
        <v>530</v>
      </c>
      <c r="N180" s="33"/>
      <c r="O180" s="33"/>
      <c r="P180" s="164">
        <v>1085.62691131498</v>
      </c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ht="15.75" customHeight="1" spans="1:28">
      <c r="A181" s="156" t="s">
        <v>530</v>
      </c>
      <c r="B181" s="150">
        <v>2400701</v>
      </c>
      <c r="C181" s="151" t="s">
        <v>26</v>
      </c>
      <c r="D181" s="151" t="s">
        <v>73</v>
      </c>
      <c r="E181" s="151" t="s">
        <v>74</v>
      </c>
      <c r="F181" s="151" t="s">
        <v>544</v>
      </c>
      <c r="G181" s="152">
        <v>45301</v>
      </c>
      <c r="H181" s="153">
        <v>6002778.6</v>
      </c>
      <c r="I181" s="152">
        <v>45301</v>
      </c>
      <c r="J181" s="110" t="s">
        <v>50</v>
      </c>
      <c r="K181" s="153">
        <v>6002778.6</v>
      </c>
      <c r="L181" s="164">
        <v>183235</v>
      </c>
      <c r="M181" s="156" t="s">
        <v>530</v>
      </c>
      <c r="N181" s="33"/>
      <c r="O181" s="33"/>
      <c r="P181" s="164">
        <v>183235</v>
      </c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ht="15.75" customHeight="1" spans="1:28">
      <c r="A182" s="149" t="s">
        <v>530</v>
      </c>
      <c r="B182" s="150">
        <v>2400203</v>
      </c>
      <c r="C182" s="151" t="s">
        <v>26</v>
      </c>
      <c r="D182" s="151" t="s">
        <v>545</v>
      </c>
      <c r="E182" s="151" t="s">
        <v>546</v>
      </c>
      <c r="F182" s="151" t="s">
        <v>547</v>
      </c>
      <c r="G182" s="152">
        <v>45302</v>
      </c>
      <c r="H182" s="153">
        <v>202580.4</v>
      </c>
      <c r="I182" s="152">
        <v>45302</v>
      </c>
      <c r="J182" s="110" t="s">
        <v>50</v>
      </c>
      <c r="K182" s="153">
        <v>202580.4</v>
      </c>
      <c r="L182" s="164">
        <v>6180</v>
      </c>
      <c r="M182" s="149" t="s">
        <v>530</v>
      </c>
      <c r="N182" s="33"/>
      <c r="O182" s="33"/>
      <c r="P182" s="164">
        <v>6180</v>
      </c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ht="15.75" customHeight="1" spans="1:28">
      <c r="A183" s="149" t="s">
        <v>530</v>
      </c>
      <c r="B183" s="150">
        <v>2400204</v>
      </c>
      <c r="C183" s="151" t="s">
        <v>26</v>
      </c>
      <c r="D183" s="151" t="s">
        <v>545</v>
      </c>
      <c r="E183" s="151" t="s">
        <v>546</v>
      </c>
      <c r="F183" s="151" t="s">
        <v>548</v>
      </c>
      <c r="G183" s="152">
        <v>45302</v>
      </c>
      <c r="H183" s="153">
        <v>13439800</v>
      </c>
      <c r="I183" s="152">
        <v>45302</v>
      </c>
      <c r="J183" s="110" t="s">
        <v>50</v>
      </c>
      <c r="K183" s="153">
        <v>13439800</v>
      </c>
      <c r="L183" s="164">
        <v>410000</v>
      </c>
      <c r="M183" s="149" t="s">
        <v>530</v>
      </c>
      <c r="N183" s="33"/>
      <c r="O183" s="33"/>
      <c r="P183" s="164">
        <v>410000</v>
      </c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ht="15.75" customHeight="1" spans="1:28">
      <c r="A184" s="149" t="s">
        <v>530</v>
      </c>
      <c r="B184" s="150">
        <v>2400305</v>
      </c>
      <c r="C184" s="151" t="s">
        <v>26</v>
      </c>
      <c r="D184" s="151" t="s">
        <v>47</v>
      </c>
      <c r="E184" s="151" t="s">
        <v>549</v>
      </c>
      <c r="F184" s="151" t="s">
        <v>550</v>
      </c>
      <c r="G184" s="152">
        <v>45302</v>
      </c>
      <c r="H184" s="153">
        <v>114730</v>
      </c>
      <c r="I184" s="152">
        <v>45302</v>
      </c>
      <c r="J184" s="110" t="s">
        <v>50</v>
      </c>
      <c r="K184" s="153">
        <v>114730</v>
      </c>
      <c r="L184" s="164">
        <v>3500</v>
      </c>
      <c r="M184" s="149" t="s">
        <v>530</v>
      </c>
      <c r="N184" s="33"/>
      <c r="O184" s="33"/>
      <c r="P184" s="164">
        <v>3500</v>
      </c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ht="15.75" customHeight="1" spans="1:28">
      <c r="A185" s="149" t="s">
        <v>530</v>
      </c>
      <c r="B185" s="150">
        <v>2400801</v>
      </c>
      <c r="C185" s="151" t="s">
        <v>26</v>
      </c>
      <c r="D185" s="151" t="s">
        <v>551</v>
      </c>
      <c r="E185" s="151" t="s">
        <v>552</v>
      </c>
      <c r="F185" s="151" t="s">
        <v>553</v>
      </c>
      <c r="G185" s="152">
        <v>45303</v>
      </c>
      <c r="H185" s="153">
        <v>15811.2</v>
      </c>
      <c r="I185" s="152">
        <v>45303</v>
      </c>
      <c r="J185" s="110" t="s">
        <v>24</v>
      </c>
      <c r="K185" s="153">
        <v>15811.2</v>
      </c>
      <c r="L185" s="164">
        <v>480</v>
      </c>
      <c r="M185" s="149" t="s">
        <v>530</v>
      </c>
      <c r="N185" s="33"/>
      <c r="O185" s="33"/>
      <c r="P185" s="164">
        <v>480</v>
      </c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ht="15.75" customHeight="1" spans="1:28">
      <c r="A186" s="149" t="s">
        <v>530</v>
      </c>
      <c r="B186" s="150">
        <v>2400502</v>
      </c>
      <c r="C186" s="151" t="s">
        <v>26</v>
      </c>
      <c r="D186" s="151" t="s">
        <v>359</v>
      </c>
      <c r="E186" s="151" t="s">
        <v>540</v>
      </c>
      <c r="F186" s="151" t="s">
        <v>554</v>
      </c>
      <c r="G186" s="152">
        <v>45304</v>
      </c>
      <c r="H186" s="153">
        <v>6555060</v>
      </c>
      <c r="I186" s="152">
        <v>45304</v>
      </c>
      <c r="J186" s="110" t="s">
        <v>50</v>
      </c>
      <c r="K186" s="153">
        <v>6555060</v>
      </c>
      <c r="L186" s="164">
        <v>199000</v>
      </c>
      <c r="M186" s="149" t="s">
        <v>530</v>
      </c>
      <c r="N186" s="33"/>
      <c r="O186" s="33"/>
      <c r="P186" s="164">
        <v>199000</v>
      </c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ht="15.75" customHeight="1" spans="1:28">
      <c r="A187" s="149" t="s">
        <v>530</v>
      </c>
      <c r="B187" s="150">
        <v>2401202</v>
      </c>
      <c r="C187" s="151" t="s">
        <v>26</v>
      </c>
      <c r="D187" s="151" t="s">
        <v>555</v>
      </c>
      <c r="E187" s="151" t="s">
        <v>556</v>
      </c>
      <c r="F187" s="151" t="s">
        <v>557</v>
      </c>
      <c r="G187" s="152">
        <v>45307</v>
      </c>
      <c r="H187" s="153">
        <v>692160</v>
      </c>
      <c r="I187" s="152">
        <v>45307</v>
      </c>
      <c r="J187" s="115" t="s">
        <v>71</v>
      </c>
      <c r="K187" s="153">
        <v>692160</v>
      </c>
      <c r="L187" s="164">
        <v>21000</v>
      </c>
      <c r="M187" s="149" t="s">
        <v>530</v>
      </c>
      <c r="N187" s="33"/>
      <c r="O187" s="33"/>
      <c r="P187" s="164">
        <v>21000</v>
      </c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ht="15.75" customHeight="1" spans="1:28">
      <c r="A188" s="149" t="s">
        <v>530</v>
      </c>
      <c r="B188" s="150">
        <v>2400306</v>
      </c>
      <c r="C188" s="151" t="s">
        <v>26</v>
      </c>
      <c r="D188" s="151" t="s">
        <v>327</v>
      </c>
      <c r="E188" s="151" t="s">
        <v>48</v>
      </c>
      <c r="F188" s="151" t="s">
        <v>558</v>
      </c>
      <c r="G188" s="152">
        <v>45314</v>
      </c>
      <c r="H188" s="153">
        <v>58271</v>
      </c>
      <c r="I188" s="152">
        <v>45314</v>
      </c>
      <c r="J188" s="110" t="s">
        <v>24</v>
      </c>
      <c r="K188" s="153">
        <v>58271</v>
      </c>
      <c r="L188" s="164">
        <v>1769.00425015179</v>
      </c>
      <c r="M188" s="149" t="s">
        <v>530</v>
      </c>
      <c r="N188" s="33"/>
      <c r="O188" s="33"/>
      <c r="P188" s="164">
        <v>1769.00425015179</v>
      </c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ht="15.75" customHeight="1" spans="1:28">
      <c r="A189" s="149" t="s">
        <v>530</v>
      </c>
      <c r="B189" s="150">
        <v>2400102</v>
      </c>
      <c r="C189" s="151" t="s">
        <v>26</v>
      </c>
      <c r="D189" s="151" t="s">
        <v>559</v>
      </c>
      <c r="E189" s="151" t="s">
        <v>560</v>
      </c>
      <c r="F189" s="151" t="s">
        <v>561</v>
      </c>
      <c r="G189" s="152">
        <v>45315</v>
      </c>
      <c r="H189" s="153">
        <v>42861</v>
      </c>
      <c r="I189" s="152">
        <v>45315</v>
      </c>
      <c r="J189" s="110" t="s">
        <v>24</v>
      </c>
      <c r="K189" s="153">
        <v>42861</v>
      </c>
      <c r="L189" s="164">
        <v>1300</v>
      </c>
      <c r="M189" s="149" t="s">
        <v>530</v>
      </c>
      <c r="N189" s="33"/>
      <c r="O189" s="33"/>
      <c r="P189" s="164">
        <v>1300</v>
      </c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ht="15.75" customHeight="1" spans="1:28">
      <c r="A190" s="149" t="s">
        <v>530</v>
      </c>
      <c r="B190" s="150">
        <v>2401302</v>
      </c>
      <c r="C190" s="151" t="s">
        <v>562</v>
      </c>
      <c r="D190" s="151" t="s">
        <v>563</v>
      </c>
      <c r="E190" s="151" t="s">
        <v>564</v>
      </c>
      <c r="F190" s="151" t="s">
        <v>565</v>
      </c>
      <c r="G190" s="152">
        <v>45315</v>
      </c>
      <c r="H190" s="153">
        <v>9891</v>
      </c>
      <c r="I190" s="152">
        <v>45315</v>
      </c>
      <c r="J190" s="115" t="s">
        <v>24</v>
      </c>
      <c r="K190" s="153">
        <v>9891</v>
      </c>
      <c r="L190" s="164">
        <v>300</v>
      </c>
      <c r="M190" s="149" t="s">
        <v>530</v>
      </c>
      <c r="N190" s="33"/>
      <c r="O190" s="33"/>
      <c r="P190" s="164">
        <v>300</v>
      </c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ht="15.75" customHeight="1" spans="1:28">
      <c r="A191" s="149" t="s">
        <v>530</v>
      </c>
      <c r="B191" s="150">
        <v>2400206</v>
      </c>
      <c r="C191" s="151" t="s">
        <v>26</v>
      </c>
      <c r="D191" s="151" t="s">
        <v>545</v>
      </c>
      <c r="E191" s="151" t="s">
        <v>566</v>
      </c>
      <c r="F191" s="151" t="s">
        <v>553</v>
      </c>
      <c r="G191" s="152">
        <v>45316</v>
      </c>
      <c r="H191" s="153">
        <v>475</v>
      </c>
      <c r="I191" s="152">
        <v>45316</v>
      </c>
      <c r="J191" s="110" t="s">
        <v>50</v>
      </c>
      <c r="K191" s="153">
        <v>475</v>
      </c>
      <c r="L191" s="164">
        <v>14.4201578627808</v>
      </c>
      <c r="M191" s="149" t="s">
        <v>530</v>
      </c>
      <c r="N191" s="33"/>
      <c r="O191" s="33"/>
      <c r="P191" s="164">
        <v>14.4201578627808</v>
      </c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ht="15.75" customHeight="1" spans="1:28">
      <c r="A192" s="149" t="s">
        <v>530</v>
      </c>
      <c r="B192" s="150">
        <v>2400802</v>
      </c>
      <c r="C192" s="151" t="s">
        <v>26</v>
      </c>
      <c r="D192" s="151" t="s">
        <v>551</v>
      </c>
      <c r="E192" s="151" t="s">
        <v>552</v>
      </c>
      <c r="F192" s="151" t="s">
        <v>567</v>
      </c>
      <c r="G192" s="152">
        <v>45316</v>
      </c>
      <c r="H192" s="153">
        <v>121000</v>
      </c>
      <c r="I192" s="152">
        <v>45316</v>
      </c>
      <c r="J192" s="110" t="s">
        <v>50</v>
      </c>
      <c r="K192" s="153">
        <v>121000</v>
      </c>
      <c r="L192" s="164">
        <v>3673.34547662417</v>
      </c>
      <c r="M192" s="149" t="s">
        <v>530</v>
      </c>
      <c r="N192" s="33"/>
      <c r="O192" s="33"/>
      <c r="P192" s="164">
        <v>3673.34547662417</v>
      </c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ht="15.75" customHeight="1" spans="1:28">
      <c r="A193" s="149" t="s">
        <v>530</v>
      </c>
      <c r="B193" s="150">
        <v>2401004</v>
      </c>
      <c r="C193" s="151" t="s">
        <v>26</v>
      </c>
      <c r="D193" s="151" t="s">
        <v>365</v>
      </c>
      <c r="E193" s="151" t="s">
        <v>568</v>
      </c>
      <c r="F193" s="151" t="s">
        <v>569</v>
      </c>
      <c r="G193" s="152">
        <v>45321</v>
      </c>
      <c r="H193" s="153">
        <v>640770</v>
      </c>
      <c r="I193" s="152">
        <v>45321</v>
      </c>
      <c r="J193" s="115" t="s">
        <v>50</v>
      </c>
      <c r="K193" s="153">
        <v>640770</v>
      </c>
      <c r="L193" s="164">
        <v>19500</v>
      </c>
      <c r="M193" s="149" t="s">
        <v>530</v>
      </c>
      <c r="N193" s="33"/>
      <c r="O193" s="33"/>
      <c r="P193" s="164">
        <v>19500</v>
      </c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ht="15.75" customHeight="1" spans="1:28">
      <c r="A194" s="149" t="s">
        <v>530</v>
      </c>
      <c r="B194" s="150">
        <v>2400318</v>
      </c>
      <c r="C194" s="151" t="s">
        <v>26</v>
      </c>
      <c r="D194" s="151" t="s">
        <v>47</v>
      </c>
      <c r="E194" s="151" t="s">
        <v>570</v>
      </c>
      <c r="F194" s="151" t="s">
        <v>571</v>
      </c>
      <c r="G194" s="152">
        <v>45300</v>
      </c>
      <c r="H194" s="153">
        <v>1463325</v>
      </c>
      <c r="I194" s="152">
        <v>45300</v>
      </c>
      <c r="J194" s="110" t="s">
        <v>50</v>
      </c>
      <c r="K194" s="153">
        <v>1463325</v>
      </c>
      <c r="L194" s="164">
        <v>44750</v>
      </c>
      <c r="M194" s="149" t="s">
        <v>530</v>
      </c>
      <c r="N194" s="33"/>
      <c r="O194" s="33"/>
      <c r="P194" s="164">
        <v>44750</v>
      </c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ht="15.75" customHeight="1" spans="1:28">
      <c r="A195" s="149" t="s">
        <v>530</v>
      </c>
      <c r="B195" s="150">
        <v>2401603</v>
      </c>
      <c r="C195" s="151" t="s">
        <v>26</v>
      </c>
      <c r="D195" s="151" t="s">
        <v>572</v>
      </c>
      <c r="E195" s="151" t="s">
        <v>573</v>
      </c>
      <c r="F195" s="151" t="s">
        <v>553</v>
      </c>
      <c r="G195" s="152">
        <v>45324</v>
      </c>
      <c r="H195" s="153" t="s">
        <v>574</v>
      </c>
      <c r="I195" s="152">
        <v>45324</v>
      </c>
      <c r="J195" s="115" t="s">
        <v>24</v>
      </c>
      <c r="K195" s="153" t="s">
        <v>574</v>
      </c>
      <c r="L195" s="164" t="s">
        <v>574</v>
      </c>
      <c r="M195" s="149" t="s">
        <v>530</v>
      </c>
      <c r="N195" s="33"/>
      <c r="O195" s="33"/>
      <c r="P195" s="164" t="s">
        <v>574</v>
      </c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ht="15.75" customHeight="1" spans="1:28">
      <c r="A196" s="149" t="s">
        <v>530</v>
      </c>
      <c r="B196" s="150">
        <v>2400208</v>
      </c>
      <c r="C196" s="151" t="s">
        <v>26</v>
      </c>
      <c r="D196" s="151" t="s">
        <v>545</v>
      </c>
      <c r="E196" s="151" t="s">
        <v>566</v>
      </c>
      <c r="F196" s="151" t="s">
        <v>575</v>
      </c>
      <c r="G196" s="152">
        <v>45328</v>
      </c>
      <c r="H196" s="153">
        <v>846145</v>
      </c>
      <c r="I196" s="152">
        <v>45328</v>
      </c>
      <c r="J196" s="110" t="s">
        <v>50</v>
      </c>
      <c r="K196" s="153">
        <v>846145</v>
      </c>
      <c r="L196" s="164">
        <v>25750</v>
      </c>
      <c r="M196" s="149" t="s">
        <v>530</v>
      </c>
      <c r="N196" s="33"/>
      <c r="O196" s="33"/>
      <c r="P196" s="164">
        <v>25750</v>
      </c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ht="15.75" customHeight="1" spans="1:28">
      <c r="A197" s="149" t="s">
        <v>530</v>
      </c>
      <c r="B197" s="150">
        <v>2400803</v>
      </c>
      <c r="C197" s="151" t="s">
        <v>26</v>
      </c>
      <c r="D197" s="151" t="s">
        <v>551</v>
      </c>
      <c r="E197" s="151" t="s">
        <v>552</v>
      </c>
      <c r="F197" s="151" t="s">
        <v>576</v>
      </c>
      <c r="G197" s="152">
        <v>45329</v>
      </c>
      <c r="H197" s="153">
        <v>1477350</v>
      </c>
      <c r="I197" s="152">
        <v>45329</v>
      </c>
      <c r="J197" s="115" t="s">
        <v>24</v>
      </c>
      <c r="K197" s="153">
        <v>1477350</v>
      </c>
      <c r="L197" s="164">
        <v>45000</v>
      </c>
      <c r="M197" s="149" t="s">
        <v>530</v>
      </c>
      <c r="N197" s="33"/>
      <c r="O197" s="33"/>
      <c r="P197" s="164">
        <v>45000</v>
      </c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ht="15.75" customHeight="1" spans="1:28">
      <c r="A198" s="149" t="s">
        <v>530</v>
      </c>
      <c r="B198" s="150">
        <v>2400209</v>
      </c>
      <c r="C198" s="151" t="s">
        <v>26</v>
      </c>
      <c r="D198" s="151" t="s">
        <v>577</v>
      </c>
      <c r="E198" s="151" t="s">
        <v>578</v>
      </c>
      <c r="F198" s="151" t="s">
        <v>579</v>
      </c>
      <c r="G198" s="152">
        <v>45331</v>
      </c>
      <c r="H198" s="153">
        <v>296103.57</v>
      </c>
      <c r="I198" s="152">
        <v>45331</v>
      </c>
      <c r="J198" s="115" t="s">
        <v>24</v>
      </c>
      <c r="K198" s="153">
        <v>296103.57</v>
      </c>
      <c r="L198" s="164">
        <v>8981</v>
      </c>
      <c r="M198" s="149" t="s">
        <v>530</v>
      </c>
      <c r="N198" s="33"/>
      <c r="O198" s="33"/>
      <c r="P198" s="164">
        <v>8981</v>
      </c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ht="15.75" customHeight="1" spans="1:28">
      <c r="A199" s="149" t="s">
        <v>530</v>
      </c>
      <c r="B199" s="150">
        <v>2400103</v>
      </c>
      <c r="C199" s="151" t="s">
        <v>26</v>
      </c>
      <c r="D199" s="151" t="s">
        <v>580</v>
      </c>
      <c r="E199" s="151" t="s">
        <v>581</v>
      </c>
      <c r="F199" s="151" t="s">
        <v>582</v>
      </c>
      <c r="G199" s="152">
        <v>45337</v>
      </c>
      <c r="H199" s="153">
        <v>39577</v>
      </c>
      <c r="I199" s="152">
        <v>45337</v>
      </c>
      <c r="J199" s="115" t="s">
        <v>24</v>
      </c>
      <c r="K199" s="153">
        <v>39577</v>
      </c>
      <c r="L199" s="164">
        <v>1202.58280158007</v>
      </c>
      <c r="M199" s="149" t="s">
        <v>530</v>
      </c>
      <c r="N199" s="33"/>
      <c r="O199" s="33"/>
      <c r="P199" s="164">
        <v>1202.58280158007</v>
      </c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ht="15.75" customHeight="1" spans="1:28">
      <c r="A200" s="149" t="s">
        <v>530</v>
      </c>
      <c r="B200" s="150">
        <v>2402501</v>
      </c>
      <c r="C200" s="151" t="s">
        <v>26</v>
      </c>
      <c r="D200" s="151" t="s">
        <v>583</v>
      </c>
      <c r="E200" s="151" t="s">
        <v>584</v>
      </c>
      <c r="F200" s="151" t="s">
        <v>585</v>
      </c>
      <c r="G200" s="152">
        <v>45343</v>
      </c>
      <c r="H200" s="153">
        <v>66640</v>
      </c>
      <c r="I200" s="152">
        <v>45343</v>
      </c>
      <c r="J200" s="115" t="s">
        <v>24</v>
      </c>
      <c r="K200" s="153">
        <v>66640</v>
      </c>
      <c r="L200" s="164">
        <v>2000</v>
      </c>
      <c r="M200" s="149" t="s">
        <v>530</v>
      </c>
      <c r="N200" s="33"/>
      <c r="O200" s="33"/>
      <c r="P200" s="164">
        <v>2000</v>
      </c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ht="15.75" customHeight="1" spans="1:28">
      <c r="A201" s="149" t="s">
        <v>530</v>
      </c>
      <c r="B201" s="150">
        <v>2400805</v>
      </c>
      <c r="C201" s="151" t="s">
        <v>26</v>
      </c>
      <c r="D201" s="151" t="s">
        <v>551</v>
      </c>
      <c r="E201" s="151" t="s">
        <v>552</v>
      </c>
      <c r="F201" s="151" t="s">
        <v>94</v>
      </c>
      <c r="G201" s="152">
        <v>45343</v>
      </c>
      <c r="H201" s="153">
        <v>4275</v>
      </c>
      <c r="I201" s="152">
        <v>45343</v>
      </c>
      <c r="J201" s="115" t="s">
        <v>24</v>
      </c>
      <c r="K201" s="153">
        <v>4275</v>
      </c>
      <c r="L201" s="164">
        <v>128.301320528211</v>
      </c>
      <c r="M201" s="149" t="s">
        <v>530</v>
      </c>
      <c r="N201" s="33"/>
      <c r="O201" s="33"/>
      <c r="P201" s="164">
        <v>128.301320528211</v>
      </c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ht="15.75" customHeight="1" spans="1:28">
      <c r="A202" s="149" t="s">
        <v>530</v>
      </c>
      <c r="B202" s="150">
        <v>2402203</v>
      </c>
      <c r="C202" s="151" t="s">
        <v>26</v>
      </c>
      <c r="D202" s="151" t="s">
        <v>126</v>
      </c>
      <c r="E202" s="151" t="s">
        <v>586</v>
      </c>
      <c r="F202" s="151" t="s">
        <v>587</v>
      </c>
      <c r="G202" s="152">
        <v>45357</v>
      </c>
      <c r="H202" s="153">
        <v>137120</v>
      </c>
      <c r="I202" s="152">
        <v>45357</v>
      </c>
      <c r="J202" s="115" t="s">
        <v>24</v>
      </c>
      <c r="K202" s="153">
        <v>137120</v>
      </c>
      <c r="L202" s="164">
        <v>4000</v>
      </c>
      <c r="M202" s="149" t="s">
        <v>530</v>
      </c>
      <c r="N202" s="33"/>
      <c r="O202" s="33"/>
      <c r="P202" s="164">
        <v>4000</v>
      </c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ht="15.75" customHeight="1" spans="1:28">
      <c r="A203" s="149" t="s">
        <v>530</v>
      </c>
      <c r="B203" s="150">
        <v>2402801</v>
      </c>
      <c r="C203" s="151" t="s">
        <v>26</v>
      </c>
      <c r="D203" s="151" t="s">
        <v>588</v>
      </c>
      <c r="E203" s="151" t="s">
        <v>589</v>
      </c>
      <c r="F203" s="151" t="s">
        <v>590</v>
      </c>
      <c r="G203" s="152">
        <v>45374</v>
      </c>
      <c r="H203" s="153">
        <v>2650500</v>
      </c>
      <c r="I203" s="152">
        <v>45374</v>
      </c>
      <c r="J203" s="115" t="s">
        <v>24</v>
      </c>
      <c r="K203" s="153">
        <v>2650500</v>
      </c>
      <c r="L203" s="164">
        <v>75000</v>
      </c>
      <c r="M203" s="149" t="s">
        <v>530</v>
      </c>
      <c r="N203" s="33"/>
      <c r="O203" s="33"/>
      <c r="P203" s="164">
        <v>75000</v>
      </c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ht="15.75" customHeight="1" spans="1:28">
      <c r="A204" s="149" t="s">
        <v>530</v>
      </c>
      <c r="B204" s="150">
        <v>2402802</v>
      </c>
      <c r="C204" s="151" t="s">
        <v>26</v>
      </c>
      <c r="D204" s="151" t="s">
        <v>588</v>
      </c>
      <c r="E204" s="151" t="s">
        <v>589</v>
      </c>
      <c r="F204" s="151" t="s">
        <v>591</v>
      </c>
      <c r="G204" s="152">
        <v>45362</v>
      </c>
      <c r="H204" s="153">
        <v>73311</v>
      </c>
      <c r="I204" s="152">
        <v>45362</v>
      </c>
      <c r="J204" s="115" t="s">
        <v>24</v>
      </c>
      <c r="K204" s="153">
        <v>73311</v>
      </c>
      <c r="L204" s="164">
        <v>2100</v>
      </c>
      <c r="M204" s="149" t="s">
        <v>530</v>
      </c>
      <c r="N204" s="33"/>
      <c r="O204" s="33"/>
      <c r="P204" s="164">
        <v>2100</v>
      </c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ht="15.75" customHeight="1" spans="1:28">
      <c r="A205" s="149" t="s">
        <v>530</v>
      </c>
      <c r="B205" s="150">
        <v>2401305</v>
      </c>
      <c r="C205" s="151" t="s">
        <v>26</v>
      </c>
      <c r="D205" s="151" t="s">
        <v>563</v>
      </c>
      <c r="E205" s="151" t="s">
        <v>592</v>
      </c>
      <c r="F205" s="151" t="s">
        <v>593</v>
      </c>
      <c r="G205" s="152">
        <v>45386</v>
      </c>
      <c r="H205" s="153">
        <v>32401.8</v>
      </c>
      <c r="I205" s="152">
        <v>45386</v>
      </c>
      <c r="J205" s="115" t="s">
        <v>24</v>
      </c>
      <c r="K205" s="153">
        <v>32401.8</v>
      </c>
      <c r="L205" s="164">
        <v>940</v>
      </c>
      <c r="M205" s="149" t="s">
        <v>530</v>
      </c>
      <c r="N205" s="33"/>
      <c r="O205" s="33"/>
      <c r="P205" s="164">
        <v>940</v>
      </c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ht="15.75" customHeight="1" spans="1:28">
      <c r="A206" s="149" t="s">
        <v>530</v>
      </c>
      <c r="B206" s="150">
        <v>2404001</v>
      </c>
      <c r="C206" s="151"/>
      <c r="D206" s="151" t="s">
        <v>594</v>
      </c>
      <c r="E206" s="151" t="s">
        <v>595</v>
      </c>
      <c r="F206" s="151" t="s">
        <v>596</v>
      </c>
      <c r="G206" s="152">
        <v>45388</v>
      </c>
      <c r="H206" s="153">
        <v>21470.6</v>
      </c>
      <c r="I206" s="152">
        <v>45388</v>
      </c>
      <c r="J206" s="115" t="s">
        <v>24</v>
      </c>
      <c r="K206" s="153">
        <v>21470.6</v>
      </c>
      <c r="L206" s="164">
        <v>620</v>
      </c>
      <c r="M206" s="149" t="s">
        <v>530</v>
      </c>
      <c r="N206" s="33"/>
      <c r="O206" s="33"/>
      <c r="P206" s="164">
        <v>620</v>
      </c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ht="15.75" customHeight="1" spans="1:28">
      <c r="A207" s="149" t="s">
        <v>530</v>
      </c>
      <c r="B207" s="150" t="s">
        <v>534</v>
      </c>
      <c r="C207" s="151" t="s">
        <v>26</v>
      </c>
      <c r="D207" s="151" t="s">
        <v>47</v>
      </c>
      <c r="E207" s="151" t="s">
        <v>597</v>
      </c>
      <c r="F207" s="151" t="s">
        <v>598</v>
      </c>
      <c r="G207" s="152">
        <v>45401</v>
      </c>
      <c r="H207" s="153">
        <v>111104</v>
      </c>
      <c r="I207" s="152">
        <v>45401</v>
      </c>
      <c r="J207" s="110" t="s">
        <v>50</v>
      </c>
      <c r="K207" s="153">
        <v>111104</v>
      </c>
      <c r="L207" s="164">
        <v>3200</v>
      </c>
      <c r="M207" s="149" t="s">
        <v>530</v>
      </c>
      <c r="N207" s="33"/>
      <c r="O207" s="33"/>
      <c r="P207" s="164">
        <v>3200</v>
      </c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ht="15.75" customHeight="1" spans="1:28">
      <c r="A208" s="149" t="s">
        <v>530</v>
      </c>
      <c r="B208" s="150" t="s">
        <v>534</v>
      </c>
      <c r="C208" s="151" t="s">
        <v>599</v>
      </c>
      <c r="D208" s="151" t="s">
        <v>600</v>
      </c>
      <c r="E208" s="151" t="s">
        <v>601</v>
      </c>
      <c r="F208" s="151" t="s">
        <v>602</v>
      </c>
      <c r="G208" s="152">
        <v>45427</v>
      </c>
      <c r="H208" s="153">
        <v>1781760</v>
      </c>
      <c r="I208" s="152">
        <v>45427</v>
      </c>
      <c r="J208" s="115" t="s">
        <v>24</v>
      </c>
      <c r="K208" s="153">
        <v>1781760</v>
      </c>
      <c r="L208" s="164">
        <v>51200</v>
      </c>
      <c r="M208" s="149" t="s">
        <v>530</v>
      </c>
      <c r="N208" s="33"/>
      <c r="O208" s="33"/>
      <c r="P208" s="164">
        <v>51200</v>
      </c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ht="15.75" customHeight="1" spans="1:28">
      <c r="A209" s="149" t="s">
        <v>530</v>
      </c>
      <c r="B209" s="150">
        <v>2404501</v>
      </c>
      <c r="C209" s="151" t="s">
        <v>26</v>
      </c>
      <c r="D209" s="151" t="s">
        <v>603</v>
      </c>
      <c r="E209" s="151" t="s">
        <v>604</v>
      </c>
      <c r="F209" s="151" t="s">
        <v>94</v>
      </c>
      <c r="G209" s="152">
        <v>45429</v>
      </c>
      <c r="H209" s="153">
        <v>26272.5</v>
      </c>
      <c r="I209" s="152">
        <v>45429</v>
      </c>
      <c r="J209" s="115" t="s">
        <v>24</v>
      </c>
      <c r="K209" s="153">
        <v>26272.5</v>
      </c>
      <c r="L209" s="164">
        <v>750</v>
      </c>
      <c r="M209" s="149" t="s">
        <v>530</v>
      </c>
      <c r="N209" s="33"/>
      <c r="O209" s="33"/>
      <c r="P209" s="164">
        <v>750</v>
      </c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ht="15.75" customHeight="1" spans="1:28">
      <c r="A210" s="149" t="s">
        <v>530</v>
      </c>
      <c r="B210" s="165" t="s">
        <v>605</v>
      </c>
      <c r="C210" s="166" t="s">
        <v>26</v>
      </c>
      <c r="D210" s="151" t="s">
        <v>359</v>
      </c>
      <c r="E210" s="151" t="s">
        <v>606</v>
      </c>
      <c r="F210" s="151" t="s">
        <v>607</v>
      </c>
      <c r="G210" s="152">
        <v>45435</v>
      </c>
      <c r="H210" s="153">
        <v>174500</v>
      </c>
      <c r="I210" s="152">
        <v>45435</v>
      </c>
      <c r="J210" s="115" t="s">
        <v>24</v>
      </c>
      <c r="K210" s="153">
        <v>174500</v>
      </c>
      <c r="L210" s="164">
        <v>5000</v>
      </c>
      <c r="M210" s="149" t="s">
        <v>530</v>
      </c>
      <c r="N210" s="33"/>
      <c r="O210" s="33"/>
      <c r="P210" s="164">
        <v>5000</v>
      </c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ht="15.75" customHeight="1" spans="1:28">
      <c r="A211" s="149" t="s">
        <v>530</v>
      </c>
      <c r="B211" s="150">
        <v>2401014</v>
      </c>
      <c r="C211" s="151" t="s">
        <v>26</v>
      </c>
      <c r="D211" s="151" t="s">
        <v>27</v>
      </c>
      <c r="E211" s="151" t="s">
        <v>568</v>
      </c>
      <c r="F211" s="151" t="s">
        <v>608</v>
      </c>
      <c r="G211" s="152">
        <v>45444</v>
      </c>
      <c r="H211" s="153">
        <v>54141.5</v>
      </c>
      <c r="I211" s="152">
        <v>45444</v>
      </c>
      <c r="J211" s="115" t="s">
        <v>24</v>
      </c>
      <c r="K211" s="153">
        <v>54141.5</v>
      </c>
      <c r="L211" s="164">
        <v>1550</v>
      </c>
      <c r="M211" s="149" t="s">
        <v>530</v>
      </c>
      <c r="N211" s="33"/>
      <c r="O211" s="33"/>
      <c r="P211" s="164">
        <v>1550</v>
      </c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ht="15.75" customHeight="1" spans="1:28">
      <c r="A212" s="149" t="s">
        <v>530</v>
      </c>
      <c r="B212" s="150">
        <v>2400213</v>
      </c>
      <c r="C212" s="151" t="s">
        <v>26</v>
      </c>
      <c r="D212" s="151" t="s">
        <v>609</v>
      </c>
      <c r="E212" s="151" t="s">
        <v>610</v>
      </c>
      <c r="F212" s="151" t="s">
        <v>611</v>
      </c>
      <c r="G212" s="152">
        <v>45448</v>
      </c>
      <c r="H212" s="153">
        <v>70340</v>
      </c>
      <c r="I212" s="152">
        <v>45448</v>
      </c>
      <c r="J212" s="115" t="s">
        <v>24</v>
      </c>
      <c r="K212" s="153">
        <v>70340</v>
      </c>
      <c r="L212" s="164">
        <v>2000</v>
      </c>
      <c r="M212" s="149" t="s">
        <v>530</v>
      </c>
      <c r="N212" s="33"/>
      <c r="O212" s="33"/>
      <c r="P212" s="164">
        <v>2000</v>
      </c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ht="15.75" customHeight="1" spans="1:28">
      <c r="A213" s="149" t="s">
        <v>530</v>
      </c>
      <c r="B213" s="150">
        <v>2400214</v>
      </c>
      <c r="C213" s="151" t="s">
        <v>26</v>
      </c>
      <c r="D213" s="151" t="s">
        <v>545</v>
      </c>
      <c r="E213" s="151" t="s">
        <v>578</v>
      </c>
      <c r="F213" s="151" t="s">
        <v>612</v>
      </c>
      <c r="G213" s="152">
        <v>45453</v>
      </c>
      <c r="H213" s="153">
        <v>146843.4</v>
      </c>
      <c r="I213" s="152">
        <v>45453</v>
      </c>
      <c r="J213" s="115" t="s">
        <v>24</v>
      </c>
      <c r="K213" s="153">
        <v>146843.4</v>
      </c>
      <c r="L213" s="164">
        <v>4180</v>
      </c>
      <c r="M213" s="149" t="s">
        <v>530</v>
      </c>
      <c r="N213" s="33"/>
      <c r="O213" s="33"/>
      <c r="P213" s="164">
        <v>4180</v>
      </c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ht="15.75" customHeight="1" spans="1:28">
      <c r="A214" s="149" t="s">
        <v>530</v>
      </c>
      <c r="B214" s="150">
        <v>2401015</v>
      </c>
      <c r="C214" s="151" t="s">
        <v>26</v>
      </c>
      <c r="D214" s="151" t="s">
        <v>27</v>
      </c>
      <c r="E214" s="151" t="s">
        <v>613</v>
      </c>
      <c r="F214" s="151" t="s">
        <v>614</v>
      </c>
      <c r="G214" s="152">
        <v>45454</v>
      </c>
      <c r="H214" s="153">
        <v>1472137.8</v>
      </c>
      <c r="I214" s="152">
        <v>45454</v>
      </c>
      <c r="J214" s="115" t="s">
        <v>24</v>
      </c>
      <c r="K214" s="153">
        <v>1472137.8</v>
      </c>
      <c r="L214" s="164">
        <v>42230</v>
      </c>
      <c r="M214" s="149" t="s">
        <v>530</v>
      </c>
      <c r="N214" s="33"/>
      <c r="O214" s="33"/>
      <c r="P214" s="164">
        <v>42230</v>
      </c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ht="15.75" customHeight="1" spans="1:28">
      <c r="A215" s="149" t="s">
        <v>530</v>
      </c>
      <c r="B215" s="150">
        <v>2401016</v>
      </c>
      <c r="C215" s="151" t="s">
        <v>26</v>
      </c>
      <c r="D215" s="151" t="s">
        <v>27</v>
      </c>
      <c r="E215" s="151" t="s">
        <v>615</v>
      </c>
      <c r="F215" s="151" t="s">
        <v>616</v>
      </c>
      <c r="G215" s="152">
        <v>45454</v>
      </c>
      <c r="H215" s="153">
        <v>1010940</v>
      </c>
      <c r="I215" s="152">
        <v>45454</v>
      </c>
      <c r="J215" s="115" t="s">
        <v>24</v>
      </c>
      <c r="K215" s="153">
        <v>1010940</v>
      </c>
      <c r="L215" s="164">
        <v>29000</v>
      </c>
      <c r="M215" s="149" t="s">
        <v>530</v>
      </c>
      <c r="N215" s="33"/>
      <c r="O215" s="33"/>
      <c r="P215" s="164">
        <v>29000</v>
      </c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ht="15.75" customHeight="1" spans="1:28">
      <c r="A216" s="149" t="s">
        <v>530</v>
      </c>
      <c r="B216" s="150">
        <v>2401017</v>
      </c>
      <c r="C216" s="151" t="s">
        <v>26</v>
      </c>
      <c r="D216" s="151" t="s">
        <v>27</v>
      </c>
      <c r="E216" s="151" t="s">
        <v>613</v>
      </c>
      <c r="F216" s="151" t="s">
        <v>617</v>
      </c>
      <c r="G216" s="152">
        <v>45454</v>
      </c>
      <c r="H216" s="153">
        <v>763434</v>
      </c>
      <c r="I216" s="152">
        <v>45454</v>
      </c>
      <c r="J216" s="115" t="s">
        <v>24</v>
      </c>
      <c r="K216" s="153">
        <v>763434</v>
      </c>
      <c r="L216" s="164">
        <v>21900</v>
      </c>
      <c r="M216" s="149" t="s">
        <v>530</v>
      </c>
      <c r="N216" s="33"/>
      <c r="O216" s="33"/>
      <c r="P216" s="164">
        <v>21900</v>
      </c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ht="15.75" customHeight="1" spans="1:28">
      <c r="A217" s="149" t="s">
        <v>530</v>
      </c>
      <c r="B217" s="150">
        <v>2401018</v>
      </c>
      <c r="C217" s="151" t="s">
        <v>26</v>
      </c>
      <c r="D217" s="151" t="s">
        <v>27</v>
      </c>
      <c r="E217" s="151" t="s">
        <v>618</v>
      </c>
      <c r="F217" s="151" t="s">
        <v>619</v>
      </c>
      <c r="G217" s="152">
        <v>45454</v>
      </c>
      <c r="H217" s="153">
        <v>383460</v>
      </c>
      <c r="I217" s="152">
        <v>45454</v>
      </c>
      <c r="J217" s="115" t="s">
        <v>24</v>
      </c>
      <c r="K217" s="153">
        <v>383460</v>
      </c>
      <c r="L217" s="164">
        <v>11000</v>
      </c>
      <c r="M217" s="149" t="s">
        <v>530</v>
      </c>
      <c r="N217" s="33"/>
      <c r="O217" s="33"/>
      <c r="P217" s="164">
        <v>11000</v>
      </c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ht="15.75" customHeight="1" spans="1:28">
      <c r="A218" s="149" t="s">
        <v>530</v>
      </c>
      <c r="B218" s="150">
        <v>2400215</v>
      </c>
      <c r="C218" s="151" t="s">
        <v>26</v>
      </c>
      <c r="D218" s="151" t="s">
        <v>545</v>
      </c>
      <c r="E218" s="151" t="s">
        <v>578</v>
      </c>
      <c r="F218" s="151" t="s">
        <v>620</v>
      </c>
      <c r="G218" s="152">
        <v>45457</v>
      </c>
      <c r="H218" s="153">
        <v>819445</v>
      </c>
      <c r="I218" s="152">
        <v>45457</v>
      </c>
      <c r="J218" s="115" t="s">
        <v>24</v>
      </c>
      <c r="K218" s="153">
        <v>819445</v>
      </c>
      <c r="L218" s="164">
        <v>23500</v>
      </c>
      <c r="M218" s="149" t="s">
        <v>530</v>
      </c>
      <c r="N218" s="33"/>
      <c r="O218" s="33"/>
      <c r="P218" s="164">
        <v>23500</v>
      </c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ht="15.75" customHeight="1" spans="1:28">
      <c r="A219" s="149" t="s">
        <v>530</v>
      </c>
      <c r="B219" s="150">
        <v>2401020</v>
      </c>
      <c r="C219" s="151" t="s">
        <v>562</v>
      </c>
      <c r="D219" s="151" t="s">
        <v>365</v>
      </c>
      <c r="E219" s="151" t="s">
        <v>621</v>
      </c>
      <c r="F219" s="151" t="s">
        <v>622</v>
      </c>
      <c r="G219" s="152">
        <v>45471</v>
      </c>
      <c r="H219" s="153">
        <v>1319250</v>
      </c>
      <c r="I219" s="152">
        <v>45471</v>
      </c>
      <c r="J219" s="115" t="s">
        <v>24</v>
      </c>
      <c r="K219" s="153">
        <v>1319250</v>
      </c>
      <c r="L219" s="164">
        <v>37500</v>
      </c>
      <c r="M219" s="149" t="s">
        <v>530</v>
      </c>
      <c r="N219" s="33"/>
      <c r="O219" s="33"/>
      <c r="P219" s="164">
        <v>37500</v>
      </c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ht="15.75" customHeight="1" spans="1:28">
      <c r="A220" s="149" t="s">
        <v>530</v>
      </c>
      <c r="B220" s="150">
        <v>2400103</v>
      </c>
      <c r="C220" s="151" t="s">
        <v>26</v>
      </c>
      <c r="D220" s="151" t="s">
        <v>580</v>
      </c>
      <c r="E220" s="151" t="s">
        <v>623</v>
      </c>
      <c r="F220" s="151" t="s">
        <v>561</v>
      </c>
      <c r="G220" s="152">
        <v>45477</v>
      </c>
      <c r="H220" s="153">
        <v>50764.5</v>
      </c>
      <c r="I220" s="152">
        <v>45477</v>
      </c>
      <c r="J220" s="115" t="s">
        <v>24</v>
      </c>
      <c r="K220" s="153">
        <v>50764.5</v>
      </c>
      <c r="L220" s="164">
        <v>1450</v>
      </c>
      <c r="M220" s="149" t="s">
        <v>530</v>
      </c>
      <c r="N220" s="33"/>
      <c r="O220" s="33"/>
      <c r="P220" s="164">
        <v>1450</v>
      </c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ht="15.75" customHeight="1" spans="1:28">
      <c r="A221" s="149" t="s">
        <v>530</v>
      </c>
      <c r="B221" s="150">
        <v>2406401</v>
      </c>
      <c r="C221" s="151" t="s">
        <v>26</v>
      </c>
      <c r="D221" s="151" t="s">
        <v>624</v>
      </c>
      <c r="E221" s="151" t="s">
        <v>625</v>
      </c>
      <c r="F221" s="151" t="s">
        <v>626</v>
      </c>
      <c r="G221" s="152">
        <v>45479</v>
      </c>
      <c r="H221" s="153">
        <v>7250</v>
      </c>
      <c r="I221" s="152">
        <v>45479</v>
      </c>
      <c r="J221" s="115" t="s">
        <v>24</v>
      </c>
      <c r="K221" s="153">
        <v>7250</v>
      </c>
      <c r="L221" s="164">
        <v>206.200227531286</v>
      </c>
      <c r="M221" s="149" t="s">
        <v>530</v>
      </c>
      <c r="N221" s="33"/>
      <c r="O221" s="33"/>
      <c r="P221" s="164">
        <v>206.200227531286</v>
      </c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ht="15.75" customHeight="1" spans="1:28">
      <c r="A222" s="149" t="s">
        <v>530</v>
      </c>
      <c r="B222" s="150">
        <v>2402021</v>
      </c>
      <c r="C222" s="151" t="s">
        <v>26</v>
      </c>
      <c r="D222" s="151" t="s">
        <v>27</v>
      </c>
      <c r="E222" s="151" t="s">
        <v>229</v>
      </c>
      <c r="F222" s="151" t="s">
        <v>627</v>
      </c>
      <c r="G222" s="152">
        <v>45478</v>
      </c>
      <c r="H222" s="153">
        <v>806922</v>
      </c>
      <c r="I222" s="152">
        <v>45478</v>
      </c>
      <c r="J222" s="115" t="s">
        <v>24</v>
      </c>
      <c r="K222" s="153">
        <v>806922</v>
      </c>
      <c r="L222" s="164">
        <v>22950</v>
      </c>
      <c r="M222" s="149" t="s">
        <v>530</v>
      </c>
      <c r="N222" s="33"/>
      <c r="O222" s="33"/>
      <c r="P222" s="164">
        <v>22950</v>
      </c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ht="15.75" customHeight="1" spans="1:28">
      <c r="A223" s="149" t="s">
        <v>530</v>
      </c>
      <c r="B223" s="150">
        <v>2400217</v>
      </c>
      <c r="C223" s="151" t="s">
        <v>26</v>
      </c>
      <c r="D223" s="151" t="s">
        <v>545</v>
      </c>
      <c r="E223" s="151" t="s">
        <v>546</v>
      </c>
      <c r="F223" s="151" t="s">
        <v>628</v>
      </c>
      <c r="G223" s="152">
        <v>45482</v>
      </c>
      <c r="H223" s="153">
        <v>43389.5</v>
      </c>
      <c r="I223" s="152">
        <v>45482</v>
      </c>
      <c r="J223" s="115" t="s">
        <v>24</v>
      </c>
      <c r="K223" s="153">
        <v>43389.5</v>
      </c>
      <c r="L223" s="164">
        <v>1225</v>
      </c>
      <c r="M223" s="149" t="s">
        <v>530</v>
      </c>
      <c r="N223" s="33"/>
      <c r="O223" s="33"/>
      <c r="P223" s="164">
        <v>1225</v>
      </c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ht="15.75" customHeight="1" spans="1:28">
      <c r="A224" s="149" t="s">
        <v>530</v>
      </c>
      <c r="B224" s="150">
        <v>2400218</v>
      </c>
      <c r="C224" s="151" t="s">
        <v>26</v>
      </c>
      <c r="D224" s="151" t="s">
        <v>545</v>
      </c>
      <c r="E224" s="151" t="s">
        <v>578</v>
      </c>
      <c r="F224" s="151" t="s">
        <v>629</v>
      </c>
      <c r="G224" s="152">
        <v>45484</v>
      </c>
      <c r="H224" s="153">
        <v>1354.7</v>
      </c>
      <c r="I224" s="152">
        <v>45484</v>
      </c>
      <c r="J224" s="115" t="s">
        <v>24</v>
      </c>
      <c r="K224" s="153">
        <v>1354.7</v>
      </c>
      <c r="L224" s="164">
        <v>38</v>
      </c>
      <c r="M224" s="149" t="s">
        <v>530</v>
      </c>
      <c r="N224" s="33"/>
      <c r="O224" s="33"/>
      <c r="P224" s="164">
        <v>38</v>
      </c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ht="15.75" customHeight="1" spans="1:28">
      <c r="A225" s="149" t="s">
        <v>530</v>
      </c>
      <c r="B225" s="150">
        <v>2400219</v>
      </c>
      <c r="C225" s="151" t="s">
        <v>26</v>
      </c>
      <c r="D225" s="151" t="s">
        <v>545</v>
      </c>
      <c r="E225" s="151" t="s">
        <v>630</v>
      </c>
      <c r="F225" s="151" t="s">
        <v>629</v>
      </c>
      <c r="G225" s="152">
        <v>45492</v>
      </c>
      <c r="H225" s="153">
        <v>3220.02</v>
      </c>
      <c r="I225" s="152">
        <v>45492</v>
      </c>
      <c r="J225" s="115" t="s">
        <v>50</v>
      </c>
      <c r="K225" s="153">
        <v>3220.02</v>
      </c>
      <c r="L225" s="164">
        <v>89</v>
      </c>
      <c r="M225" s="149" t="s">
        <v>530</v>
      </c>
      <c r="N225" s="33"/>
      <c r="O225" s="33"/>
      <c r="P225" s="164">
        <v>89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ht="15.75" customHeight="1" spans="1:28">
      <c r="A226" s="149" t="s">
        <v>530</v>
      </c>
      <c r="B226" s="150">
        <v>2402023</v>
      </c>
      <c r="C226" s="151" t="s">
        <v>26</v>
      </c>
      <c r="D226" s="151" t="s">
        <v>365</v>
      </c>
      <c r="E226" s="151" t="s">
        <v>631</v>
      </c>
      <c r="F226" s="151" t="s">
        <v>632</v>
      </c>
      <c r="G226" s="152">
        <v>45492</v>
      </c>
      <c r="H226" s="153">
        <v>452250</v>
      </c>
      <c r="I226" s="152">
        <v>45492</v>
      </c>
      <c r="J226" s="115" t="s">
        <v>50</v>
      </c>
      <c r="K226" s="153">
        <v>452250</v>
      </c>
      <c r="L226" s="164">
        <v>12500</v>
      </c>
      <c r="M226" s="149" t="s">
        <v>530</v>
      </c>
      <c r="N226" s="33"/>
      <c r="O226" s="33"/>
      <c r="P226" s="164">
        <v>12500</v>
      </c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ht="15.75" customHeight="1" spans="1:28">
      <c r="A227" s="149" t="s">
        <v>530</v>
      </c>
      <c r="B227" s="150">
        <v>2402025</v>
      </c>
      <c r="C227" s="151" t="s">
        <v>26</v>
      </c>
      <c r="D227" s="151" t="s">
        <v>365</v>
      </c>
      <c r="E227" s="151" t="s">
        <v>633</v>
      </c>
      <c r="F227" s="151" t="s">
        <v>634</v>
      </c>
      <c r="G227" s="152">
        <v>45492</v>
      </c>
      <c r="H227" s="153">
        <v>1056456</v>
      </c>
      <c r="I227" s="152">
        <v>45492</v>
      </c>
      <c r="J227" s="115" t="s">
        <v>24</v>
      </c>
      <c r="K227" s="153">
        <v>1056456</v>
      </c>
      <c r="L227" s="164">
        <v>29200</v>
      </c>
      <c r="M227" s="149" t="s">
        <v>530</v>
      </c>
      <c r="N227" s="33"/>
      <c r="O227" s="33"/>
      <c r="P227" s="164">
        <v>29200</v>
      </c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ht="15.75" customHeight="1" spans="1:28">
      <c r="A228" s="149" t="s">
        <v>530</v>
      </c>
      <c r="B228" s="150">
        <v>2400220</v>
      </c>
      <c r="C228" s="151" t="s">
        <v>26</v>
      </c>
      <c r="D228" s="151" t="s">
        <v>545</v>
      </c>
      <c r="E228" s="151" t="s">
        <v>578</v>
      </c>
      <c r="F228" s="151" t="s">
        <v>635</v>
      </c>
      <c r="G228" s="152">
        <v>45497</v>
      </c>
      <c r="H228" s="153">
        <v>3401.95</v>
      </c>
      <c r="I228" s="152">
        <v>45497</v>
      </c>
      <c r="J228" s="115" t="s">
        <v>24</v>
      </c>
      <c r="K228" s="153">
        <v>3401.95</v>
      </c>
      <c r="L228" s="164">
        <v>95</v>
      </c>
      <c r="M228" s="149" t="s">
        <v>530</v>
      </c>
      <c r="N228" s="33"/>
      <c r="O228" s="33"/>
      <c r="P228" s="164">
        <v>95</v>
      </c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ht="15.75" customHeight="1" spans="1:28">
      <c r="A229" s="149" t="s">
        <v>530</v>
      </c>
      <c r="B229" s="150">
        <v>2406901</v>
      </c>
      <c r="C229" s="151" t="s">
        <v>599</v>
      </c>
      <c r="D229" s="151" t="s">
        <v>636</v>
      </c>
      <c r="E229" s="151" t="s">
        <v>637</v>
      </c>
      <c r="F229" s="151" t="s">
        <v>638</v>
      </c>
      <c r="G229" s="152">
        <v>45503</v>
      </c>
      <c r="H229" s="153">
        <v>3399100</v>
      </c>
      <c r="I229" s="152">
        <v>45503</v>
      </c>
      <c r="J229" s="115" t="s">
        <v>24</v>
      </c>
      <c r="K229" s="153">
        <v>3399100</v>
      </c>
      <c r="L229" s="164">
        <v>95000</v>
      </c>
      <c r="M229" s="149" t="s">
        <v>530</v>
      </c>
      <c r="N229" s="33"/>
      <c r="O229" s="33"/>
      <c r="P229" s="164">
        <v>95000</v>
      </c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ht="15.75" customHeight="1" spans="1:28">
      <c r="A230" s="149" t="s">
        <v>530</v>
      </c>
      <c r="B230" s="150">
        <v>2402502</v>
      </c>
      <c r="C230" s="151" t="s">
        <v>562</v>
      </c>
      <c r="D230" s="151" t="s">
        <v>583</v>
      </c>
      <c r="E230" s="151" t="s">
        <v>584</v>
      </c>
      <c r="F230" s="151" t="s">
        <v>639</v>
      </c>
      <c r="G230" s="152">
        <v>45507</v>
      </c>
      <c r="H230" s="153">
        <v>35760</v>
      </c>
      <c r="I230" s="152">
        <v>45507</v>
      </c>
      <c r="J230" s="115" t="s">
        <v>24</v>
      </c>
      <c r="K230" s="153">
        <v>35760</v>
      </c>
      <c r="L230" s="164">
        <v>1000</v>
      </c>
      <c r="M230" s="149" t="s">
        <v>530</v>
      </c>
      <c r="N230" s="33"/>
      <c r="O230" s="33"/>
      <c r="P230" s="164">
        <v>1000</v>
      </c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ht="15.75" customHeight="1" spans="1:28">
      <c r="A231" s="149" t="s">
        <v>530</v>
      </c>
      <c r="B231" s="150" t="s">
        <v>534</v>
      </c>
      <c r="C231" s="151" t="s">
        <v>26</v>
      </c>
      <c r="D231" s="151" t="s">
        <v>27</v>
      </c>
      <c r="E231" s="151" t="s">
        <v>640</v>
      </c>
      <c r="F231" s="151" t="s">
        <v>614</v>
      </c>
      <c r="G231" s="152">
        <v>45518</v>
      </c>
      <c r="H231" s="153">
        <v>1448070</v>
      </c>
      <c r="I231" s="152">
        <v>45518</v>
      </c>
      <c r="J231" s="115" t="s">
        <v>24</v>
      </c>
      <c r="K231" s="153">
        <v>1448070</v>
      </c>
      <c r="L231" s="164">
        <v>39500</v>
      </c>
      <c r="M231" s="149" t="s">
        <v>530</v>
      </c>
      <c r="N231" s="33"/>
      <c r="O231" s="33"/>
      <c r="P231" s="164">
        <v>39500</v>
      </c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ht="15.75" customHeight="1" spans="1:28">
      <c r="A232" s="149" t="s">
        <v>530</v>
      </c>
      <c r="B232" s="150">
        <v>2400221</v>
      </c>
      <c r="C232" s="151" t="s">
        <v>562</v>
      </c>
      <c r="D232" s="151" t="s">
        <v>545</v>
      </c>
      <c r="E232" s="151" t="s">
        <v>578</v>
      </c>
      <c r="F232" s="151" t="s">
        <v>641</v>
      </c>
      <c r="G232" s="152">
        <v>45519</v>
      </c>
      <c r="H232" s="153">
        <v>655862.5</v>
      </c>
      <c r="I232" s="152">
        <v>45519</v>
      </c>
      <c r="J232" s="115" t="s">
        <v>24</v>
      </c>
      <c r="K232" s="153">
        <v>655862.5</v>
      </c>
      <c r="L232" s="164">
        <v>17750</v>
      </c>
      <c r="M232" s="149" t="s">
        <v>530</v>
      </c>
      <c r="N232" s="33"/>
      <c r="O232" s="33"/>
      <c r="P232" s="164">
        <v>17750</v>
      </c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ht="15.75" customHeight="1" spans="1:28">
      <c r="A233" s="149" t="s">
        <v>530</v>
      </c>
      <c r="B233" s="150" t="s">
        <v>642</v>
      </c>
      <c r="C233" s="151" t="s">
        <v>26</v>
      </c>
      <c r="D233" s="151" t="s">
        <v>83</v>
      </c>
      <c r="E233" s="151" t="s">
        <v>297</v>
      </c>
      <c r="F233" s="151" t="s">
        <v>643</v>
      </c>
      <c r="G233" s="152">
        <v>45525</v>
      </c>
      <c r="H233" s="153">
        <v>10264040</v>
      </c>
      <c r="I233" s="152">
        <v>45525</v>
      </c>
      <c r="J233" s="115" t="s">
        <v>50</v>
      </c>
      <c r="K233" s="153">
        <v>10264040</v>
      </c>
      <c r="L233" s="164">
        <v>274000</v>
      </c>
      <c r="M233" s="149" t="s">
        <v>530</v>
      </c>
      <c r="N233" s="33"/>
      <c r="O233" s="33"/>
      <c r="P233" s="164">
        <v>274000</v>
      </c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ht="15.75" customHeight="1" spans="1:28">
      <c r="A234" s="149" t="s">
        <v>530</v>
      </c>
      <c r="B234" s="150" t="s">
        <v>642</v>
      </c>
      <c r="C234" s="151" t="s">
        <v>26</v>
      </c>
      <c r="D234" s="151" t="s">
        <v>157</v>
      </c>
      <c r="E234" s="151" t="s">
        <v>158</v>
      </c>
      <c r="F234" s="151" t="s">
        <v>63</v>
      </c>
      <c r="G234" s="152">
        <v>45525</v>
      </c>
      <c r="H234" s="153">
        <v>12024660</v>
      </c>
      <c r="I234" s="152">
        <v>45525</v>
      </c>
      <c r="J234" s="115" t="s">
        <v>71</v>
      </c>
      <c r="K234" s="153">
        <v>12024660</v>
      </c>
      <c r="L234" s="164">
        <v>321000</v>
      </c>
      <c r="M234" s="149" t="s">
        <v>530</v>
      </c>
      <c r="N234" s="33"/>
      <c r="O234" s="33"/>
      <c r="P234" s="164">
        <v>321000</v>
      </c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ht="15.75" customHeight="1" spans="1:28">
      <c r="A235" s="149" t="s">
        <v>530</v>
      </c>
      <c r="B235" s="150" t="s">
        <v>642</v>
      </c>
      <c r="C235" s="151" t="s">
        <v>26</v>
      </c>
      <c r="D235" s="151" t="s">
        <v>531</v>
      </c>
      <c r="E235" s="151" t="s">
        <v>644</v>
      </c>
      <c r="F235" s="151" t="s">
        <v>645</v>
      </c>
      <c r="G235" s="152">
        <v>45527</v>
      </c>
      <c r="H235" s="153">
        <v>1129622</v>
      </c>
      <c r="I235" s="152">
        <v>45527</v>
      </c>
      <c r="J235" s="115" t="s">
        <v>50</v>
      </c>
      <c r="K235" s="153">
        <v>1129622</v>
      </c>
      <c r="L235" s="164">
        <v>29900</v>
      </c>
      <c r="M235" s="149" t="s">
        <v>530</v>
      </c>
      <c r="N235" s="33"/>
      <c r="O235" s="33"/>
      <c r="P235" s="164">
        <v>29900</v>
      </c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ht="15.75" customHeight="1" spans="1:28">
      <c r="A236" s="149" t="s">
        <v>530</v>
      </c>
      <c r="B236" s="150" t="s">
        <v>642</v>
      </c>
      <c r="C236" s="151" t="s">
        <v>26</v>
      </c>
      <c r="D236" s="151" t="s">
        <v>359</v>
      </c>
      <c r="E236" s="151" t="s">
        <v>540</v>
      </c>
      <c r="F236" s="151" t="s">
        <v>646</v>
      </c>
      <c r="G236" s="152">
        <v>45527</v>
      </c>
      <c r="H236" s="153">
        <v>490085</v>
      </c>
      <c r="I236" s="152">
        <v>45527</v>
      </c>
      <c r="J236" s="115" t="s">
        <v>24</v>
      </c>
      <c r="K236" s="153">
        <v>490085</v>
      </c>
      <c r="L236" s="164">
        <v>12972.0751720487</v>
      </c>
      <c r="M236" s="149" t="s">
        <v>530</v>
      </c>
      <c r="N236" s="33"/>
      <c r="O236" s="33"/>
      <c r="P236" s="164">
        <v>12972.0751720487</v>
      </c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ht="15.75" customHeight="1" spans="1:28">
      <c r="A237" s="149" t="s">
        <v>530</v>
      </c>
      <c r="B237" s="150" t="s">
        <v>642</v>
      </c>
      <c r="C237" s="151" t="s">
        <v>26</v>
      </c>
      <c r="D237" s="151" t="s">
        <v>359</v>
      </c>
      <c r="E237" s="151" t="s">
        <v>540</v>
      </c>
      <c r="F237" s="151" t="s">
        <v>647</v>
      </c>
      <c r="G237" s="152">
        <v>45530</v>
      </c>
      <c r="H237" s="153">
        <v>479000</v>
      </c>
      <c r="I237" s="152">
        <v>45530</v>
      </c>
      <c r="J237" s="115" t="s">
        <v>24</v>
      </c>
      <c r="K237" s="153">
        <v>479000</v>
      </c>
      <c r="L237" s="164">
        <v>12688.7417218543</v>
      </c>
      <c r="M237" s="149" t="s">
        <v>530</v>
      </c>
      <c r="N237" s="33"/>
      <c r="O237" s="33"/>
      <c r="P237" s="164">
        <v>12688.7417218543</v>
      </c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ht="15.75" customHeight="1" spans="1:28">
      <c r="A238" s="149" t="s">
        <v>530</v>
      </c>
      <c r="B238" s="150" t="s">
        <v>642</v>
      </c>
      <c r="C238" s="151" t="s">
        <v>562</v>
      </c>
      <c r="D238" s="151" t="s">
        <v>545</v>
      </c>
      <c r="E238" s="151" t="s">
        <v>578</v>
      </c>
      <c r="F238" s="151" t="s">
        <v>648</v>
      </c>
      <c r="G238" s="152">
        <v>45530</v>
      </c>
      <c r="H238" s="153">
        <v>943750</v>
      </c>
      <c r="I238" s="152">
        <v>45530</v>
      </c>
      <c r="J238" s="115" t="s">
        <v>24</v>
      </c>
      <c r="K238" s="153">
        <v>943750</v>
      </c>
      <c r="L238" s="164">
        <v>25000</v>
      </c>
      <c r="M238" s="149" t="s">
        <v>530</v>
      </c>
      <c r="N238" s="33"/>
      <c r="O238" s="33"/>
      <c r="P238" s="164">
        <v>25000</v>
      </c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ht="15.75" customHeight="1" spans="1:28">
      <c r="A239" s="149" t="s">
        <v>530</v>
      </c>
      <c r="B239" s="150" t="s">
        <v>642</v>
      </c>
      <c r="C239" s="151" t="s">
        <v>26</v>
      </c>
      <c r="D239" s="151" t="s">
        <v>47</v>
      </c>
      <c r="E239" s="151" t="s">
        <v>48</v>
      </c>
      <c r="F239" s="151" t="s">
        <v>649</v>
      </c>
      <c r="G239" s="152">
        <v>45540</v>
      </c>
      <c r="H239" s="153">
        <v>45642</v>
      </c>
      <c r="I239" s="152">
        <v>45540</v>
      </c>
      <c r="J239" s="115" t="s">
        <v>24</v>
      </c>
      <c r="K239" s="153">
        <v>45642</v>
      </c>
      <c r="L239" s="164">
        <v>1213.23763955343</v>
      </c>
      <c r="M239" s="149" t="s">
        <v>530</v>
      </c>
      <c r="N239" s="33"/>
      <c r="O239" s="33"/>
      <c r="P239" s="164">
        <v>1213.23763955343</v>
      </c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ht="15.75" customHeight="1" spans="1:28">
      <c r="A240" s="149" t="s">
        <v>530</v>
      </c>
      <c r="B240" s="150" t="s">
        <v>642</v>
      </c>
      <c r="C240" s="151" t="s">
        <v>562</v>
      </c>
      <c r="D240" s="151" t="s">
        <v>545</v>
      </c>
      <c r="E240" s="151" t="s">
        <v>578</v>
      </c>
      <c r="F240" s="151" t="s">
        <v>650</v>
      </c>
      <c r="G240" s="152">
        <v>45544</v>
      </c>
      <c r="H240" s="153">
        <v>943500</v>
      </c>
      <c r="I240" s="152">
        <v>45544</v>
      </c>
      <c r="J240" s="115" t="s">
        <v>24</v>
      </c>
      <c r="K240" s="153">
        <v>943500</v>
      </c>
      <c r="L240" s="164">
        <v>25000</v>
      </c>
      <c r="M240" s="149" t="s">
        <v>530</v>
      </c>
      <c r="N240" s="33"/>
      <c r="O240" s="33"/>
      <c r="P240" s="164">
        <v>25000</v>
      </c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ht="15.75" customHeight="1" spans="1:28">
      <c r="A241" s="149" t="s">
        <v>530</v>
      </c>
      <c r="B241" s="150" t="s">
        <v>642</v>
      </c>
      <c r="C241" s="151" t="s">
        <v>26</v>
      </c>
      <c r="D241" s="151" t="s">
        <v>651</v>
      </c>
      <c r="E241" s="151" t="s">
        <v>297</v>
      </c>
      <c r="F241" s="151" t="s">
        <v>652</v>
      </c>
      <c r="G241" s="152">
        <v>45547</v>
      </c>
      <c r="H241" s="153">
        <v>1321760</v>
      </c>
      <c r="I241" s="152">
        <v>45547</v>
      </c>
      <c r="J241" s="115" t="s">
        <v>50</v>
      </c>
      <c r="K241" s="153">
        <v>1321760</v>
      </c>
      <c r="L241" s="164">
        <v>35200</v>
      </c>
      <c r="M241" s="149" t="s">
        <v>530</v>
      </c>
      <c r="N241" s="33"/>
      <c r="O241" s="33"/>
      <c r="P241" s="164">
        <v>35200</v>
      </c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ht="15.75" customHeight="1" spans="1:28">
      <c r="A242" s="149" t="s">
        <v>530</v>
      </c>
      <c r="B242" s="150" t="s">
        <v>642</v>
      </c>
      <c r="C242" s="151" t="s">
        <v>599</v>
      </c>
      <c r="D242" s="151" t="s">
        <v>653</v>
      </c>
      <c r="E242" s="151" t="s">
        <v>654</v>
      </c>
      <c r="F242" s="151" t="s">
        <v>655</v>
      </c>
      <c r="G242" s="152">
        <v>45548</v>
      </c>
      <c r="H242" s="153">
        <v>3553000</v>
      </c>
      <c r="I242" s="152">
        <v>45548</v>
      </c>
      <c r="J242" s="115" t="s">
        <v>50</v>
      </c>
      <c r="K242" s="153">
        <v>3553000</v>
      </c>
      <c r="L242" s="164">
        <v>95000</v>
      </c>
      <c r="M242" s="149" t="s">
        <v>530</v>
      </c>
      <c r="N242" s="33"/>
      <c r="O242" s="33"/>
      <c r="P242" s="164">
        <v>95000</v>
      </c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ht="15.75" customHeight="1" spans="1:28">
      <c r="A243" s="149" t="s">
        <v>530</v>
      </c>
      <c r="B243" s="150" t="s">
        <v>642</v>
      </c>
      <c r="C243" s="151" t="s">
        <v>26</v>
      </c>
      <c r="D243" s="151" t="s">
        <v>164</v>
      </c>
      <c r="E243" s="151" t="s">
        <v>656</v>
      </c>
      <c r="F243" s="151" t="s">
        <v>657</v>
      </c>
      <c r="G243" s="152">
        <v>45548</v>
      </c>
      <c r="H243" s="153">
        <v>329718.4</v>
      </c>
      <c r="I243" s="152">
        <v>45548</v>
      </c>
      <c r="J243" s="115" t="s">
        <v>50</v>
      </c>
      <c r="K243" s="153">
        <v>329718.4</v>
      </c>
      <c r="L243" s="164">
        <v>8816</v>
      </c>
      <c r="M243" s="149" t="s">
        <v>658</v>
      </c>
      <c r="N243" s="33"/>
      <c r="O243" s="33"/>
      <c r="P243" s="164">
        <v>8816</v>
      </c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ht="15.75" customHeight="1" spans="1:28">
      <c r="A244" s="149" t="s">
        <v>530</v>
      </c>
      <c r="B244" s="150" t="s">
        <v>642</v>
      </c>
      <c r="C244" s="151" t="s">
        <v>26</v>
      </c>
      <c r="D244" s="151" t="s">
        <v>27</v>
      </c>
      <c r="E244" s="151" t="s">
        <v>28</v>
      </c>
      <c r="F244" s="151" t="s">
        <v>659</v>
      </c>
      <c r="G244" s="152">
        <v>45548</v>
      </c>
      <c r="H244" s="153">
        <v>347820</v>
      </c>
      <c r="I244" s="152">
        <v>45548</v>
      </c>
      <c r="J244" s="115" t="s">
        <v>24</v>
      </c>
      <c r="K244" s="153">
        <v>347820</v>
      </c>
      <c r="L244" s="164">
        <v>9300</v>
      </c>
      <c r="M244" s="149" t="s">
        <v>530</v>
      </c>
      <c r="N244" s="33"/>
      <c r="O244" s="33"/>
      <c r="P244" s="164">
        <v>9300</v>
      </c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ht="15.75" customHeight="1" spans="1:28">
      <c r="A245" s="149" t="s">
        <v>530</v>
      </c>
      <c r="B245" s="150" t="s">
        <v>642</v>
      </c>
      <c r="C245" s="151" t="s">
        <v>26</v>
      </c>
      <c r="D245" s="151" t="s">
        <v>47</v>
      </c>
      <c r="E245" s="151" t="s">
        <v>48</v>
      </c>
      <c r="F245" s="151" t="s">
        <v>660</v>
      </c>
      <c r="G245" s="152">
        <v>45551</v>
      </c>
      <c r="H245" s="153">
        <v>0</v>
      </c>
      <c r="I245" s="152">
        <v>45551</v>
      </c>
      <c r="J245" s="115" t="s">
        <v>24</v>
      </c>
      <c r="K245" s="153">
        <v>0</v>
      </c>
      <c r="L245" s="164">
        <v>0</v>
      </c>
      <c r="M245" s="149" t="s">
        <v>530</v>
      </c>
      <c r="N245" s="33"/>
      <c r="O245" s="33"/>
      <c r="P245" s="164">
        <v>0</v>
      </c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ht="15.75" customHeight="1" spans="1:28">
      <c r="A246" s="149" t="s">
        <v>530</v>
      </c>
      <c r="B246" s="150" t="s">
        <v>642</v>
      </c>
      <c r="C246" s="151" t="s">
        <v>661</v>
      </c>
      <c r="D246" s="151" t="s">
        <v>545</v>
      </c>
      <c r="E246" s="151" t="s">
        <v>546</v>
      </c>
      <c r="F246" s="151" t="s">
        <v>620</v>
      </c>
      <c r="G246" s="152">
        <v>45555</v>
      </c>
      <c r="H246" s="153">
        <v>253013.4</v>
      </c>
      <c r="I246" s="152">
        <v>45555</v>
      </c>
      <c r="J246" s="115" t="s">
        <v>24</v>
      </c>
      <c r="K246" s="153">
        <v>253013.4</v>
      </c>
      <c r="L246" s="164">
        <v>6660</v>
      </c>
      <c r="M246" s="149" t="s">
        <v>530</v>
      </c>
      <c r="N246" s="33"/>
      <c r="O246" s="33"/>
      <c r="P246" s="164">
        <v>6660</v>
      </c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ht="15.75" customHeight="1" spans="1:28">
      <c r="A247" s="149" t="s">
        <v>530</v>
      </c>
      <c r="B247" s="150" t="s">
        <v>642</v>
      </c>
      <c r="C247" s="151" t="s">
        <v>26</v>
      </c>
      <c r="D247" s="151" t="s">
        <v>662</v>
      </c>
      <c r="E247" s="151" t="s">
        <v>663</v>
      </c>
      <c r="F247" s="151" t="s">
        <v>664</v>
      </c>
      <c r="G247" s="152">
        <v>45559</v>
      </c>
      <c r="H247" s="153">
        <v>17500</v>
      </c>
      <c r="I247" s="152">
        <v>45559</v>
      </c>
      <c r="J247" s="115" t="s">
        <v>24</v>
      </c>
      <c r="K247" s="153">
        <v>17500</v>
      </c>
      <c r="L247" s="164">
        <v>461.376219351437</v>
      </c>
      <c r="M247" s="149" t="s">
        <v>530</v>
      </c>
      <c r="N247" s="33"/>
      <c r="O247" s="33"/>
      <c r="P247" s="164">
        <v>461.376219351437</v>
      </c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ht="15.75" customHeight="1" spans="1:28">
      <c r="A248" s="149" t="s">
        <v>530</v>
      </c>
      <c r="B248" s="150" t="s">
        <v>642</v>
      </c>
      <c r="C248" s="151" t="s">
        <v>26</v>
      </c>
      <c r="D248" s="151" t="s">
        <v>47</v>
      </c>
      <c r="E248" s="151" t="s">
        <v>597</v>
      </c>
      <c r="F248" s="151" t="s">
        <v>665</v>
      </c>
      <c r="G248" s="152">
        <v>45562</v>
      </c>
      <c r="H248" s="153">
        <v>152320</v>
      </c>
      <c r="I248" s="152">
        <v>45562</v>
      </c>
      <c r="J248" s="115" t="s">
        <v>50</v>
      </c>
      <c r="K248" s="153">
        <v>152320</v>
      </c>
      <c r="L248" s="164">
        <v>4000</v>
      </c>
      <c r="M248" s="149" t="s">
        <v>530</v>
      </c>
      <c r="N248" s="33"/>
      <c r="O248" s="33"/>
      <c r="P248" s="164">
        <v>4000</v>
      </c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ht="15.75" customHeight="1" spans="1:28">
      <c r="A249" s="149" t="s">
        <v>530</v>
      </c>
      <c r="B249" s="150" t="s">
        <v>642</v>
      </c>
      <c r="C249" s="151" t="s">
        <v>26</v>
      </c>
      <c r="D249" s="151" t="s">
        <v>47</v>
      </c>
      <c r="E249" s="151" t="s">
        <v>48</v>
      </c>
      <c r="F249" s="151" t="s">
        <v>666</v>
      </c>
      <c r="G249" s="152">
        <v>45562</v>
      </c>
      <c r="H249" s="153">
        <v>39790.61</v>
      </c>
      <c r="I249" s="152">
        <v>45562</v>
      </c>
      <c r="J249" s="115" t="s">
        <v>24</v>
      </c>
      <c r="K249" s="153">
        <v>39790.61</v>
      </c>
      <c r="L249" s="164">
        <v>1044.92148109244</v>
      </c>
      <c r="M249" s="149" t="s">
        <v>530</v>
      </c>
      <c r="N249" s="33"/>
      <c r="O249" s="33"/>
      <c r="P249" s="164">
        <v>1044.92148109244</v>
      </c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ht="15.75" customHeight="1" spans="1:28">
      <c r="A250" s="149" t="s">
        <v>530</v>
      </c>
      <c r="B250" s="150" t="s">
        <v>642</v>
      </c>
      <c r="C250" s="151" t="s">
        <v>26</v>
      </c>
      <c r="D250" s="151" t="s">
        <v>545</v>
      </c>
      <c r="E250" s="151" t="s">
        <v>667</v>
      </c>
      <c r="F250" s="151" t="s">
        <v>668</v>
      </c>
      <c r="G250" s="152">
        <v>45565</v>
      </c>
      <c r="H250" s="153">
        <v>171405</v>
      </c>
      <c r="I250" s="152">
        <v>45565</v>
      </c>
      <c r="J250" s="115" t="s">
        <v>24</v>
      </c>
      <c r="K250" s="153">
        <v>171405</v>
      </c>
      <c r="L250" s="164">
        <v>4500</v>
      </c>
      <c r="M250" s="149" t="s">
        <v>530</v>
      </c>
      <c r="N250" s="33"/>
      <c r="O250" s="33"/>
      <c r="P250" s="164">
        <v>4500</v>
      </c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ht="15.75" customHeight="1" spans="1:28">
      <c r="A251" s="149" t="s">
        <v>530</v>
      </c>
      <c r="B251" s="150" t="s">
        <v>642</v>
      </c>
      <c r="C251" s="151" t="s">
        <v>669</v>
      </c>
      <c r="D251" s="151" t="s">
        <v>83</v>
      </c>
      <c r="E251" s="151" t="s">
        <v>670</v>
      </c>
      <c r="F251" s="151" t="s">
        <v>671</v>
      </c>
      <c r="G251" s="152">
        <v>45577</v>
      </c>
      <c r="H251" s="153">
        <v>15038.82</v>
      </c>
      <c r="I251" s="152">
        <v>45577</v>
      </c>
      <c r="J251" s="115" t="s">
        <v>50</v>
      </c>
      <c r="K251" s="153">
        <v>15038.82</v>
      </c>
      <c r="L251" s="164">
        <v>402</v>
      </c>
      <c r="M251" s="149" t="s">
        <v>530</v>
      </c>
      <c r="N251" s="33"/>
      <c r="O251" s="33"/>
      <c r="P251" s="164">
        <v>402</v>
      </c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ht="15.75" customHeight="1" spans="1:28">
      <c r="A252" s="149" t="s">
        <v>530</v>
      </c>
      <c r="B252" s="150" t="s">
        <v>642</v>
      </c>
      <c r="C252" s="151" t="s">
        <v>661</v>
      </c>
      <c r="D252" s="151" t="s">
        <v>545</v>
      </c>
      <c r="E252" s="151" t="s">
        <v>578</v>
      </c>
      <c r="F252" s="151" t="s">
        <v>672</v>
      </c>
      <c r="G252" s="152">
        <v>45578</v>
      </c>
      <c r="H252" s="153">
        <v>84172.5</v>
      </c>
      <c r="I252" s="152">
        <v>45578</v>
      </c>
      <c r="J252" s="115" t="s">
        <v>50</v>
      </c>
      <c r="K252" s="153">
        <v>84172.5</v>
      </c>
      <c r="L252" s="164">
        <v>2250</v>
      </c>
      <c r="M252" s="149" t="s">
        <v>658</v>
      </c>
      <c r="N252" s="33"/>
      <c r="O252" s="33"/>
      <c r="P252" s="164">
        <v>2250</v>
      </c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ht="15.75" customHeight="1" spans="1:28">
      <c r="A253" s="149" t="s">
        <v>530</v>
      </c>
      <c r="B253" s="150" t="s">
        <v>642</v>
      </c>
      <c r="C253" s="151" t="s">
        <v>26</v>
      </c>
      <c r="D253" s="151" t="s">
        <v>673</v>
      </c>
      <c r="E253" s="151" t="s">
        <v>674</v>
      </c>
      <c r="F253" s="151" t="s">
        <v>675</v>
      </c>
      <c r="G253" s="152">
        <v>45579</v>
      </c>
      <c r="H253" s="153">
        <v>592300.8</v>
      </c>
      <c r="I253" s="152">
        <v>45579</v>
      </c>
      <c r="J253" s="115" t="s">
        <v>24</v>
      </c>
      <c r="K253" s="153">
        <v>592300.8</v>
      </c>
      <c r="L253" s="164">
        <v>15820</v>
      </c>
      <c r="M253" s="149" t="s">
        <v>530</v>
      </c>
      <c r="N253" s="33"/>
      <c r="O253" s="33"/>
      <c r="P253" s="164">
        <v>15820</v>
      </c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ht="15.75" customHeight="1" spans="1:28">
      <c r="A254" s="149" t="s">
        <v>530</v>
      </c>
      <c r="B254" s="150" t="s">
        <v>642</v>
      </c>
      <c r="C254" s="151" t="s">
        <v>26</v>
      </c>
      <c r="D254" s="151" t="s">
        <v>47</v>
      </c>
      <c r="E254" s="151" t="s">
        <v>48</v>
      </c>
      <c r="F254" s="151" t="s">
        <v>676</v>
      </c>
      <c r="G254" s="152">
        <v>45582</v>
      </c>
      <c r="H254" s="153">
        <v>0</v>
      </c>
      <c r="I254" s="152">
        <v>45582</v>
      </c>
      <c r="J254" s="123" t="s">
        <v>24</v>
      </c>
      <c r="K254" s="153">
        <v>0</v>
      </c>
      <c r="L254" s="164">
        <v>0</v>
      </c>
      <c r="M254" s="149" t="s">
        <v>658</v>
      </c>
      <c r="N254" s="33"/>
      <c r="O254" s="33"/>
      <c r="P254" s="164">
        <v>0</v>
      </c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ht="15.75" customHeight="1" spans="1:28">
      <c r="A255" s="149" t="s">
        <v>530</v>
      </c>
      <c r="B255" s="150" t="s">
        <v>642</v>
      </c>
      <c r="C255" s="151" t="s">
        <v>26</v>
      </c>
      <c r="D255" s="151" t="s">
        <v>47</v>
      </c>
      <c r="E255" s="151" t="s">
        <v>48</v>
      </c>
      <c r="F255" s="151" t="s">
        <v>677</v>
      </c>
      <c r="G255" s="152">
        <v>45583</v>
      </c>
      <c r="H255" s="153">
        <v>0</v>
      </c>
      <c r="I255" s="152">
        <v>45583</v>
      </c>
      <c r="J255" s="115" t="s">
        <v>50</v>
      </c>
      <c r="K255" s="153">
        <v>0</v>
      </c>
      <c r="L255" s="164">
        <v>0</v>
      </c>
      <c r="M255" s="149" t="s">
        <v>530</v>
      </c>
      <c r="N255" s="33"/>
      <c r="O255" s="33"/>
      <c r="P255" s="164">
        <v>0</v>
      </c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ht="15.75" customHeight="1" spans="1:28">
      <c r="A256" s="149" t="s">
        <v>530</v>
      </c>
      <c r="B256" s="150" t="s">
        <v>642</v>
      </c>
      <c r="C256" s="151" t="s">
        <v>26</v>
      </c>
      <c r="D256" s="151" t="s">
        <v>47</v>
      </c>
      <c r="E256" s="151" t="s">
        <v>678</v>
      </c>
      <c r="F256" s="151" t="s">
        <v>679</v>
      </c>
      <c r="G256" s="152">
        <v>45588</v>
      </c>
      <c r="H256" s="153">
        <v>0</v>
      </c>
      <c r="I256" s="152">
        <v>45588</v>
      </c>
      <c r="J256" s="115" t="s">
        <v>50</v>
      </c>
      <c r="K256" s="153">
        <v>0</v>
      </c>
      <c r="L256" s="164">
        <v>0</v>
      </c>
      <c r="M256" s="149" t="s">
        <v>530</v>
      </c>
      <c r="N256" s="33"/>
      <c r="O256" s="33"/>
      <c r="P256" s="164">
        <v>0</v>
      </c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ht="15.75" customHeight="1" spans="1:28">
      <c r="A257" s="149" t="s">
        <v>530</v>
      </c>
      <c r="B257" s="150" t="s">
        <v>642</v>
      </c>
      <c r="C257" s="151" t="s">
        <v>26</v>
      </c>
      <c r="D257" s="151" t="s">
        <v>47</v>
      </c>
      <c r="E257" s="151" t="s">
        <v>418</v>
      </c>
      <c r="F257" s="151" t="s">
        <v>680</v>
      </c>
      <c r="G257" s="152">
        <v>45595</v>
      </c>
      <c r="H257" s="153">
        <v>0</v>
      </c>
      <c r="I257" s="152">
        <v>45595</v>
      </c>
      <c r="J257" s="115" t="s">
        <v>50</v>
      </c>
      <c r="K257" s="153">
        <v>0</v>
      </c>
      <c r="L257" s="164">
        <v>0</v>
      </c>
      <c r="M257" s="149" t="s">
        <v>530</v>
      </c>
      <c r="N257" s="33"/>
      <c r="O257" s="33"/>
      <c r="P257" s="164">
        <v>0</v>
      </c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ht="15.75" customHeight="1" spans="1:28">
      <c r="A258" s="149" t="s">
        <v>530</v>
      </c>
      <c r="B258" s="150" t="s">
        <v>642</v>
      </c>
      <c r="C258" s="151" t="s">
        <v>26</v>
      </c>
      <c r="D258" s="151" t="s">
        <v>47</v>
      </c>
      <c r="E258" s="151" t="s">
        <v>48</v>
      </c>
      <c r="F258" s="151" t="s">
        <v>681</v>
      </c>
      <c r="G258" s="152">
        <v>45597</v>
      </c>
      <c r="H258" s="153">
        <v>0</v>
      </c>
      <c r="I258" s="152">
        <v>45597</v>
      </c>
      <c r="J258" s="115" t="s">
        <v>50</v>
      </c>
      <c r="K258" s="153">
        <v>0</v>
      </c>
      <c r="L258" s="164">
        <v>0</v>
      </c>
      <c r="M258" s="149" t="s">
        <v>658</v>
      </c>
      <c r="N258" s="33"/>
      <c r="O258" s="33"/>
      <c r="P258" s="164">
        <v>0</v>
      </c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ht="15.75" customHeight="1" spans="1:28">
      <c r="A259" s="149" t="s">
        <v>530</v>
      </c>
      <c r="B259" s="150" t="s">
        <v>642</v>
      </c>
      <c r="C259" s="151" t="s">
        <v>26</v>
      </c>
      <c r="D259" s="151" t="s">
        <v>47</v>
      </c>
      <c r="E259" s="151" t="s">
        <v>682</v>
      </c>
      <c r="F259" s="151" t="s">
        <v>683</v>
      </c>
      <c r="G259" s="152">
        <v>45597</v>
      </c>
      <c r="H259" s="153">
        <v>0</v>
      </c>
      <c r="I259" s="152">
        <v>45597</v>
      </c>
      <c r="J259" s="123" t="s">
        <v>24</v>
      </c>
      <c r="K259" s="153">
        <v>0</v>
      </c>
      <c r="L259" s="164">
        <v>0</v>
      </c>
      <c r="M259" s="149" t="s">
        <v>530</v>
      </c>
      <c r="N259" s="33"/>
      <c r="O259" s="33"/>
      <c r="P259" s="164">
        <v>0</v>
      </c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ht="15.75" customHeight="1" spans="1:28">
      <c r="A260" s="149" t="s">
        <v>530</v>
      </c>
      <c r="B260" s="150" t="s">
        <v>642</v>
      </c>
      <c r="C260" s="151" t="s">
        <v>26</v>
      </c>
      <c r="D260" s="151" t="s">
        <v>174</v>
      </c>
      <c r="E260" s="151" t="s">
        <v>684</v>
      </c>
      <c r="F260" s="151" t="s">
        <v>620</v>
      </c>
      <c r="G260" s="152">
        <v>45601</v>
      </c>
      <c r="H260" s="153">
        <v>135834.6</v>
      </c>
      <c r="I260" s="152">
        <v>45601</v>
      </c>
      <c r="J260" s="123" t="s">
        <v>24</v>
      </c>
      <c r="K260" s="153">
        <v>135834.6</v>
      </c>
      <c r="L260" s="164">
        <v>3630</v>
      </c>
      <c r="M260" s="149"/>
      <c r="N260" s="33"/>
      <c r="O260" s="33"/>
      <c r="P260" s="164">
        <v>3630</v>
      </c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ht="15.75" customHeight="1" spans="1:28">
      <c r="A261" s="149" t="s">
        <v>530</v>
      </c>
      <c r="B261" s="150" t="s">
        <v>642</v>
      </c>
      <c r="C261" s="151" t="s">
        <v>26</v>
      </c>
      <c r="D261" s="151" t="s">
        <v>47</v>
      </c>
      <c r="E261" s="151" t="s">
        <v>48</v>
      </c>
      <c r="F261" s="151" t="s">
        <v>685</v>
      </c>
      <c r="G261" s="152">
        <v>45601</v>
      </c>
      <c r="H261" s="153">
        <v>107390</v>
      </c>
      <c r="I261" s="152">
        <v>45601</v>
      </c>
      <c r="J261" s="123" t="s">
        <v>24</v>
      </c>
      <c r="K261" s="153">
        <v>107390</v>
      </c>
      <c r="L261" s="164">
        <v>2869.85569214324</v>
      </c>
      <c r="M261" s="149"/>
      <c r="N261" s="33"/>
      <c r="O261" s="33"/>
      <c r="P261" s="164">
        <v>2869.85569214324</v>
      </c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ht="15.75" customHeight="1" spans="1:28">
      <c r="A262" s="149" t="s">
        <v>530</v>
      </c>
      <c r="B262" s="150" t="s">
        <v>642</v>
      </c>
      <c r="C262" s="151" t="s">
        <v>26</v>
      </c>
      <c r="D262" s="151" t="s">
        <v>73</v>
      </c>
      <c r="E262" s="151" t="s">
        <v>74</v>
      </c>
      <c r="F262" s="151" t="s">
        <v>686</v>
      </c>
      <c r="G262" s="152">
        <v>45603</v>
      </c>
      <c r="H262" s="153">
        <v>179616</v>
      </c>
      <c r="I262" s="152">
        <v>45603</v>
      </c>
      <c r="J262" s="123" t="s">
        <v>24</v>
      </c>
      <c r="K262" s="153">
        <v>179616</v>
      </c>
      <c r="L262" s="164">
        <v>4800</v>
      </c>
      <c r="M262" s="149"/>
      <c r="N262" s="33"/>
      <c r="O262" s="33"/>
      <c r="P262" s="164">
        <v>4800</v>
      </c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ht="15.75" customHeight="1" spans="1:28">
      <c r="A263" s="149" t="s">
        <v>530</v>
      </c>
      <c r="B263" s="150" t="s">
        <v>642</v>
      </c>
      <c r="C263" s="151" t="s">
        <v>26</v>
      </c>
      <c r="D263" s="151" t="s">
        <v>73</v>
      </c>
      <c r="E263" s="151" t="s">
        <v>74</v>
      </c>
      <c r="F263" s="151" t="s">
        <v>90</v>
      </c>
      <c r="G263" s="152">
        <v>45604</v>
      </c>
      <c r="H263" s="153">
        <v>188596.8</v>
      </c>
      <c r="I263" s="152">
        <v>45604</v>
      </c>
      <c r="J263" s="123" t="s">
        <v>24</v>
      </c>
      <c r="K263" s="153">
        <v>188596.8</v>
      </c>
      <c r="L263" s="164">
        <v>5040</v>
      </c>
      <c r="M263" s="149"/>
      <c r="N263" s="33"/>
      <c r="O263" s="33"/>
      <c r="P263" s="164">
        <v>5040</v>
      </c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ht="15.75" customHeight="1" spans="1:28">
      <c r="A264" s="149" t="s">
        <v>530</v>
      </c>
      <c r="B264" s="150" t="s">
        <v>642</v>
      </c>
      <c r="C264" s="151" t="s">
        <v>26</v>
      </c>
      <c r="D264" s="151" t="s">
        <v>174</v>
      </c>
      <c r="E264" s="151" t="s">
        <v>684</v>
      </c>
      <c r="F264" s="151" t="s">
        <v>620</v>
      </c>
      <c r="G264" s="152">
        <v>45608</v>
      </c>
      <c r="H264" s="153">
        <v>95421</v>
      </c>
      <c r="I264" s="152">
        <v>45608</v>
      </c>
      <c r="J264" s="134"/>
      <c r="K264" s="153">
        <v>95421</v>
      </c>
      <c r="L264" s="164">
        <v>2550</v>
      </c>
      <c r="M264" s="149"/>
      <c r="N264" s="33"/>
      <c r="O264" s="33"/>
      <c r="P264" s="164">
        <v>2550</v>
      </c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ht="15.75" customHeight="1" spans="1:28">
      <c r="A265" s="149" t="s">
        <v>530</v>
      </c>
      <c r="B265" s="150" t="s">
        <v>642</v>
      </c>
      <c r="C265" s="151" t="s">
        <v>687</v>
      </c>
      <c r="D265" s="151" t="s">
        <v>83</v>
      </c>
      <c r="E265" s="151" t="s">
        <v>688</v>
      </c>
      <c r="F265" s="151" t="s">
        <v>689</v>
      </c>
      <c r="G265" s="152">
        <v>45609</v>
      </c>
      <c r="H265" s="153">
        <v>3960907</v>
      </c>
      <c r="I265" s="152">
        <v>45609</v>
      </c>
      <c r="J265" s="134"/>
      <c r="K265" s="153">
        <v>3960907</v>
      </c>
      <c r="L265" s="164">
        <v>105850</v>
      </c>
      <c r="M265" s="149"/>
      <c r="N265" s="33"/>
      <c r="O265" s="33"/>
      <c r="P265" s="164">
        <v>105850</v>
      </c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ht="15.75" customHeight="1" spans="1:28">
      <c r="A266" s="149" t="s">
        <v>530</v>
      </c>
      <c r="B266" s="150" t="s">
        <v>642</v>
      </c>
      <c r="C266" s="151" t="s">
        <v>26</v>
      </c>
      <c r="D266" s="151" t="s">
        <v>47</v>
      </c>
      <c r="E266" s="151" t="s">
        <v>48</v>
      </c>
      <c r="F266" s="151" t="s">
        <v>690</v>
      </c>
      <c r="G266" s="152">
        <v>45609</v>
      </c>
      <c r="H266" s="153">
        <v>530014</v>
      </c>
      <c r="I266" s="152">
        <v>45609</v>
      </c>
      <c r="J266" s="123" t="s">
        <v>24</v>
      </c>
      <c r="K266" s="153">
        <v>530014</v>
      </c>
      <c r="L266" s="164">
        <v>14163.9230358097</v>
      </c>
      <c r="M266" s="149"/>
      <c r="N266" s="33"/>
      <c r="O266" s="33"/>
      <c r="P266" s="164">
        <v>14163.9230358097</v>
      </c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ht="15.75" customHeight="1" spans="1:28">
      <c r="A267" s="167" t="s">
        <v>530</v>
      </c>
      <c r="B267" s="150" t="s">
        <v>642</v>
      </c>
      <c r="C267" s="151" t="s">
        <v>26</v>
      </c>
      <c r="D267" s="151" t="s">
        <v>39</v>
      </c>
      <c r="E267" s="151" t="s">
        <v>40</v>
      </c>
      <c r="F267" s="151" t="s">
        <v>691</v>
      </c>
      <c r="G267" s="152">
        <v>45610</v>
      </c>
      <c r="H267" s="153">
        <v>643624</v>
      </c>
      <c r="I267" s="152">
        <v>45610</v>
      </c>
      <c r="J267" s="123" t="s">
        <v>24</v>
      </c>
      <c r="K267" s="153">
        <v>643624</v>
      </c>
      <c r="L267" s="164">
        <v>17200</v>
      </c>
      <c r="M267" s="167"/>
      <c r="N267" s="33"/>
      <c r="O267" s="33"/>
      <c r="P267" s="164">
        <v>17200</v>
      </c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ht="15.75" customHeight="1" spans="1:28">
      <c r="A268" s="167" t="s">
        <v>530</v>
      </c>
      <c r="B268" s="150" t="s">
        <v>642</v>
      </c>
      <c r="C268" s="151" t="s">
        <v>26</v>
      </c>
      <c r="D268" s="151" t="s">
        <v>92</v>
      </c>
      <c r="E268" s="151" t="s">
        <v>40</v>
      </c>
      <c r="F268" s="151" t="s">
        <v>692</v>
      </c>
      <c r="G268" s="152">
        <v>45610</v>
      </c>
      <c r="H268" s="153">
        <v>0</v>
      </c>
      <c r="I268" s="152">
        <v>45610</v>
      </c>
      <c r="J268" s="123" t="s">
        <v>24</v>
      </c>
      <c r="K268" s="153">
        <v>0</v>
      </c>
      <c r="L268" s="164">
        <v>0</v>
      </c>
      <c r="M268" s="167"/>
      <c r="N268" s="33"/>
      <c r="O268" s="33"/>
      <c r="P268" s="164">
        <v>0</v>
      </c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ht="15.75" customHeight="1" spans="1:28">
      <c r="A269" s="167" t="s">
        <v>530</v>
      </c>
      <c r="B269" s="150" t="s">
        <v>642</v>
      </c>
      <c r="C269" s="151" t="s">
        <v>562</v>
      </c>
      <c r="D269" s="151" t="s">
        <v>545</v>
      </c>
      <c r="E269" s="151" t="s">
        <v>578</v>
      </c>
      <c r="F269" s="151" t="s">
        <v>629</v>
      </c>
      <c r="G269" s="152">
        <v>45628</v>
      </c>
      <c r="H269" s="153">
        <v>8419.5</v>
      </c>
      <c r="I269" s="152">
        <v>45628</v>
      </c>
      <c r="J269" s="115" t="s">
        <v>50</v>
      </c>
      <c r="K269" s="153">
        <v>8419.5</v>
      </c>
      <c r="L269" s="164">
        <v>225</v>
      </c>
      <c r="M269" s="167"/>
      <c r="N269" s="33"/>
      <c r="O269" s="33"/>
      <c r="P269" s="164">
        <v>225</v>
      </c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ht="15.75" customHeight="1" spans="1:28">
      <c r="A270" s="167" t="s">
        <v>530</v>
      </c>
      <c r="B270" s="150" t="s">
        <v>642</v>
      </c>
      <c r="C270" s="151" t="s">
        <v>687</v>
      </c>
      <c r="D270" s="151" t="s">
        <v>39</v>
      </c>
      <c r="E270" s="151" t="s">
        <v>40</v>
      </c>
      <c r="F270" s="151" t="s">
        <v>94</v>
      </c>
      <c r="G270" s="152">
        <v>45644</v>
      </c>
      <c r="H270" s="153">
        <v>670</v>
      </c>
      <c r="I270" s="152">
        <v>45644</v>
      </c>
      <c r="J270" s="115" t="s">
        <v>50</v>
      </c>
      <c r="K270" s="153">
        <v>670</v>
      </c>
      <c r="L270" s="164">
        <v>17.9048637092464</v>
      </c>
      <c r="M270" s="167"/>
      <c r="N270" s="33"/>
      <c r="O270" s="33"/>
      <c r="P270" s="164">
        <v>17.9048637092464</v>
      </c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ht="15.75" customHeight="1" spans="1:28">
      <c r="A271" s="149" t="s">
        <v>530</v>
      </c>
      <c r="B271" s="168" t="s">
        <v>642</v>
      </c>
      <c r="C271" s="169" t="s">
        <v>26</v>
      </c>
      <c r="D271" s="169" t="s">
        <v>47</v>
      </c>
      <c r="E271" s="169" t="s">
        <v>48</v>
      </c>
      <c r="F271" s="169" t="s">
        <v>693</v>
      </c>
      <c r="G271" s="152">
        <v>45651</v>
      </c>
      <c r="H271" s="153"/>
      <c r="I271" s="152">
        <v>45651</v>
      </c>
      <c r="J271" s="134"/>
      <c r="K271" s="153"/>
      <c r="L271" s="164"/>
      <c r="M271" s="167"/>
      <c r="N271" s="33"/>
      <c r="O271" s="33"/>
      <c r="P271" s="164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ht="15.75" customHeight="1" spans="1:28">
      <c r="A272" s="33"/>
      <c r="B272" s="33"/>
      <c r="C272" s="33"/>
      <c r="D272" s="33"/>
      <c r="E272" s="33"/>
      <c r="F272" s="33"/>
      <c r="G272" s="60"/>
      <c r="H272" s="60"/>
      <c r="I272" s="60"/>
      <c r="J272" s="123"/>
      <c r="K272" s="162"/>
      <c r="L272" s="33"/>
      <c r="M272" s="33"/>
      <c r="N272" s="33"/>
      <c r="O272" s="33"/>
      <c r="P272" s="16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ht="15.75" customHeight="1" spans="1:28">
      <c r="A273" s="33"/>
      <c r="B273" s="33"/>
      <c r="C273" s="33"/>
      <c r="D273" s="33"/>
      <c r="E273" s="33"/>
      <c r="F273" s="33"/>
      <c r="G273" s="60"/>
      <c r="H273" s="60"/>
      <c r="I273" s="60"/>
      <c r="J273" s="123"/>
      <c r="K273" s="162"/>
      <c r="L273" s="33"/>
      <c r="M273" s="33"/>
      <c r="N273" s="33"/>
      <c r="O273" s="33"/>
      <c r="P273" s="16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ht="15.75" customHeight="1" spans="1:28">
      <c r="A274" s="33"/>
      <c r="B274" s="33"/>
      <c r="C274" s="33"/>
      <c r="D274" s="33"/>
      <c r="E274" s="33"/>
      <c r="F274" s="33"/>
      <c r="G274" s="60"/>
      <c r="H274" s="60"/>
      <c r="I274" s="60"/>
      <c r="J274" s="115"/>
      <c r="K274" s="162"/>
      <c r="L274" s="33"/>
      <c r="M274" s="33"/>
      <c r="N274" s="33"/>
      <c r="O274" s="33"/>
      <c r="P274" s="16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ht="15.75" customHeight="1" spans="1:28">
      <c r="A275" s="33"/>
      <c r="B275" s="33"/>
      <c r="C275" s="33"/>
      <c r="D275" s="33"/>
      <c r="E275" s="33"/>
      <c r="F275" s="33"/>
      <c r="G275" s="60"/>
      <c r="H275" s="60"/>
      <c r="I275" s="60"/>
      <c r="J275" s="136"/>
      <c r="K275" s="162"/>
      <c r="L275" s="33"/>
      <c r="M275" s="33"/>
      <c r="N275" s="33"/>
      <c r="O275" s="33"/>
      <c r="P275" s="16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ht="15.75" customHeight="1" spans="1:28">
      <c r="A276" s="33"/>
      <c r="B276" s="33"/>
      <c r="C276" s="33"/>
      <c r="D276" s="33"/>
      <c r="E276" s="33"/>
      <c r="F276" s="33"/>
      <c r="G276" s="60"/>
      <c r="H276" s="60"/>
      <c r="I276" s="60"/>
      <c r="J276" s="136"/>
      <c r="K276" s="162"/>
      <c r="L276" s="33"/>
      <c r="M276" s="33"/>
      <c r="N276" s="33"/>
      <c r="O276" s="33"/>
      <c r="P276" s="16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ht="15.75" customHeight="1" spans="1:28">
      <c r="A277" s="33"/>
      <c r="B277" s="33"/>
      <c r="C277" s="33"/>
      <c r="D277" s="33"/>
      <c r="E277" s="33"/>
      <c r="F277" s="33"/>
      <c r="G277" s="60"/>
      <c r="H277" s="60"/>
      <c r="I277" s="60"/>
      <c r="J277" s="123"/>
      <c r="K277" s="162"/>
      <c r="L277" s="33"/>
      <c r="M277" s="33"/>
      <c r="N277" s="33"/>
      <c r="O277" s="33"/>
      <c r="P277" s="16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ht="15.75" customHeight="1" spans="1:28">
      <c r="A278" s="33"/>
      <c r="B278" s="33"/>
      <c r="C278" s="33"/>
      <c r="D278" s="33"/>
      <c r="E278" s="33"/>
      <c r="F278" s="33"/>
      <c r="G278" s="60"/>
      <c r="H278" s="60"/>
      <c r="I278" s="60"/>
      <c r="J278" s="123"/>
      <c r="K278" s="162"/>
      <c r="L278" s="33"/>
      <c r="M278" s="33"/>
      <c r="N278" s="33"/>
      <c r="O278" s="33"/>
      <c r="P278" s="16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ht="15.75" customHeight="1" spans="1:28">
      <c r="A279" s="33"/>
      <c r="B279" s="33"/>
      <c r="C279" s="33"/>
      <c r="D279" s="33"/>
      <c r="E279" s="33"/>
      <c r="F279" s="33"/>
      <c r="G279" s="60"/>
      <c r="H279" s="60"/>
      <c r="I279" s="60"/>
      <c r="J279" s="128"/>
      <c r="K279" s="162"/>
      <c r="L279" s="33"/>
      <c r="M279" s="33"/>
      <c r="N279" s="33"/>
      <c r="O279" s="33"/>
      <c r="P279" s="16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ht="15.75" customHeight="1" spans="1:28">
      <c r="A280" s="33"/>
      <c r="B280" s="33"/>
      <c r="C280" s="33"/>
      <c r="D280" s="33"/>
      <c r="E280" s="33"/>
      <c r="F280" s="33"/>
      <c r="G280" s="60"/>
      <c r="H280" s="60"/>
      <c r="I280" s="60"/>
      <c r="J280" s="123"/>
      <c r="K280" s="162"/>
      <c r="L280" s="33"/>
      <c r="M280" s="33"/>
      <c r="N280" s="33"/>
      <c r="O280" s="33"/>
      <c r="P280" s="16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ht="15.75" customHeight="1" spans="1:28">
      <c r="A281" s="33"/>
      <c r="B281" s="33"/>
      <c r="C281" s="33"/>
      <c r="D281" s="33"/>
      <c r="E281" s="33"/>
      <c r="F281" s="33"/>
      <c r="G281" s="60"/>
      <c r="H281" s="60"/>
      <c r="I281" s="60"/>
      <c r="J281" s="123"/>
      <c r="K281" s="162"/>
      <c r="L281" s="33"/>
      <c r="M281" s="33"/>
      <c r="N281" s="33"/>
      <c r="O281" s="33"/>
      <c r="P281" s="16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ht="15.75" customHeight="1" spans="1:28">
      <c r="A282" s="33"/>
      <c r="B282" s="33"/>
      <c r="C282" s="33"/>
      <c r="D282" s="33"/>
      <c r="E282" s="33"/>
      <c r="F282" s="33"/>
      <c r="G282" s="60"/>
      <c r="H282" s="60"/>
      <c r="I282" s="60"/>
      <c r="J282" s="123"/>
      <c r="K282" s="162"/>
      <c r="L282" s="33"/>
      <c r="M282" s="33"/>
      <c r="N282" s="33"/>
      <c r="O282" s="33"/>
      <c r="P282" s="16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ht="15.75" customHeight="1" spans="1:28">
      <c r="A283" s="33"/>
      <c r="B283" s="33"/>
      <c r="C283" s="33"/>
      <c r="D283" s="33"/>
      <c r="E283" s="33"/>
      <c r="F283" s="33"/>
      <c r="G283" s="60"/>
      <c r="H283" s="60"/>
      <c r="I283" s="60"/>
      <c r="J283" s="123"/>
      <c r="K283" s="162"/>
      <c r="L283" s="33"/>
      <c r="M283" s="33"/>
      <c r="N283" s="33"/>
      <c r="O283" s="33"/>
      <c r="P283" s="16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ht="15.75" customHeight="1" spans="1:28">
      <c r="A284" s="33"/>
      <c r="B284" s="33"/>
      <c r="C284" s="33"/>
      <c r="D284" s="33"/>
      <c r="E284" s="33"/>
      <c r="F284" s="33"/>
      <c r="G284" s="60"/>
      <c r="H284" s="60"/>
      <c r="I284" s="60"/>
      <c r="J284" s="123"/>
      <c r="K284" s="162"/>
      <c r="L284" s="33"/>
      <c r="M284" s="33"/>
      <c r="N284" s="33"/>
      <c r="O284" s="33"/>
      <c r="P284" s="16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ht="15.75" customHeight="1" spans="1:28">
      <c r="A285" s="33"/>
      <c r="B285" s="33"/>
      <c r="C285" s="33"/>
      <c r="D285" s="33"/>
      <c r="E285" s="33"/>
      <c r="F285" s="33"/>
      <c r="G285" s="60"/>
      <c r="H285" s="60"/>
      <c r="I285" s="60"/>
      <c r="J285" s="123"/>
      <c r="K285" s="162"/>
      <c r="L285" s="33"/>
      <c r="M285" s="33"/>
      <c r="N285" s="33"/>
      <c r="O285" s="33"/>
      <c r="P285" s="16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ht="15.75" customHeight="1" spans="1:28">
      <c r="A286" s="33"/>
      <c r="B286" s="33"/>
      <c r="C286" s="33"/>
      <c r="D286" s="33"/>
      <c r="E286" s="33"/>
      <c r="F286" s="33"/>
      <c r="G286" s="60"/>
      <c r="H286" s="60"/>
      <c r="I286" s="60"/>
      <c r="J286" s="123"/>
      <c r="K286" s="162"/>
      <c r="L286" s="33"/>
      <c r="M286" s="33"/>
      <c r="N286" s="33"/>
      <c r="O286" s="33"/>
      <c r="P286" s="16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ht="15.75" customHeight="1" spans="1:28">
      <c r="A287" s="33"/>
      <c r="B287" s="33"/>
      <c r="C287" s="33"/>
      <c r="D287" s="33"/>
      <c r="E287" s="33"/>
      <c r="F287" s="33"/>
      <c r="G287" s="60"/>
      <c r="H287" s="60"/>
      <c r="I287" s="60"/>
      <c r="J287" s="123"/>
      <c r="K287" s="162"/>
      <c r="L287" s="33"/>
      <c r="M287" s="33"/>
      <c r="N287" s="33"/>
      <c r="O287" s="33"/>
      <c r="P287" s="16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ht="15.75" customHeight="1" spans="1:28">
      <c r="A288" s="33"/>
      <c r="B288" s="33"/>
      <c r="C288" s="33"/>
      <c r="D288" s="33"/>
      <c r="E288" s="33"/>
      <c r="F288" s="33"/>
      <c r="G288" s="60"/>
      <c r="H288" s="60"/>
      <c r="I288" s="60"/>
      <c r="J288" s="123"/>
      <c r="K288" s="162"/>
      <c r="L288" s="33"/>
      <c r="M288" s="33"/>
      <c r="N288" s="33"/>
      <c r="O288" s="33"/>
      <c r="P288" s="16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ht="15.75" customHeight="1" spans="1:28">
      <c r="A289" s="33"/>
      <c r="B289" s="33"/>
      <c r="C289" s="33"/>
      <c r="D289" s="33"/>
      <c r="E289" s="33"/>
      <c r="F289" s="33"/>
      <c r="G289" s="60"/>
      <c r="H289" s="60"/>
      <c r="I289" s="60"/>
      <c r="J289" s="123"/>
      <c r="K289" s="162"/>
      <c r="L289" s="33"/>
      <c r="M289" s="33"/>
      <c r="N289" s="33"/>
      <c r="O289" s="33"/>
      <c r="P289" s="16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ht="15.75" customHeight="1" spans="1:28">
      <c r="A290" s="33"/>
      <c r="B290" s="33"/>
      <c r="C290" s="33"/>
      <c r="D290" s="33"/>
      <c r="E290" s="33"/>
      <c r="F290" s="33"/>
      <c r="G290" s="60"/>
      <c r="H290" s="60"/>
      <c r="I290" s="60"/>
      <c r="J290" s="123"/>
      <c r="K290" s="162"/>
      <c r="L290" s="33"/>
      <c r="M290" s="33"/>
      <c r="N290" s="33"/>
      <c r="O290" s="33"/>
      <c r="P290" s="16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ht="15.75" customHeight="1" spans="1:28">
      <c r="A291" s="33"/>
      <c r="B291" s="33"/>
      <c r="C291" s="33"/>
      <c r="D291" s="33"/>
      <c r="E291" s="33"/>
      <c r="F291" s="33"/>
      <c r="G291" s="60"/>
      <c r="H291" s="60"/>
      <c r="I291" s="60"/>
      <c r="J291" s="123"/>
      <c r="K291" s="162"/>
      <c r="L291" s="33"/>
      <c r="M291" s="33"/>
      <c r="N291" s="33"/>
      <c r="O291" s="33"/>
      <c r="P291" s="16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ht="15.75" customHeight="1" spans="1:28">
      <c r="A292" s="33"/>
      <c r="B292" s="33"/>
      <c r="C292" s="33"/>
      <c r="D292" s="33"/>
      <c r="E292" s="33"/>
      <c r="F292" s="33"/>
      <c r="G292" s="60"/>
      <c r="H292" s="60"/>
      <c r="I292" s="60"/>
      <c r="J292" s="128"/>
      <c r="K292" s="162"/>
      <c r="L292" s="33"/>
      <c r="M292" s="33"/>
      <c r="N292" s="33"/>
      <c r="O292" s="33"/>
      <c r="P292" s="16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ht="15.75" customHeight="1" spans="1:28">
      <c r="A293" s="33"/>
      <c r="B293" s="33"/>
      <c r="C293" s="33"/>
      <c r="D293" s="33"/>
      <c r="E293" s="33"/>
      <c r="F293" s="33"/>
      <c r="G293" s="60"/>
      <c r="H293" s="60"/>
      <c r="I293" s="60"/>
      <c r="J293" s="123"/>
      <c r="K293" s="162"/>
      <c r="L293" s="33"/>
      <c r="M293" s="33"/>
      <c r="N293" s="33"/>
      <c r="O293" s="33"/>
      <c r="P293" s="16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ht="15.75" customHeight="1" spans="1:28">
      <c r="A294" s="33"/>
      <c r="B294" s="33"/>
      <c r="C294" s="33"/>
      <c r="D294" s="33"/>
      <c r="E294" s="33"/>
      <c r="F294" s="33"/>
      <c r="G294" s="60"/>
      <c r="H294" s="60"/>
      <c r="I294" s="60"/>
      <c r="J294" s="128"/>
      <c r="K294" s="162"/>
      <c r="L294" s="33"/>
      <c r="M294" s="33"/>
      <c r="N294" s="33"/>
      <c r="O294" s="33"/>
      <c r="P294" s="16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ht="15.75" customHeight="1" spans="1:28">
      <c r="A295" s="33"/>
      <c r="B295" s="33"/>
      <c r="C295" s="33"/>
      <c r="D295" s="33"/>
      <c r="E295" s="33"/>
      <c r="F295" s="33"/>
      <c r="G295" s="60"/>
      <c r="H295" s="60"/>
      <c r="I295" s="60"/>
      <c r="J295" s="123"/>
      <c r="K295" s="162"/>
      <c r="L295" s="33"/>
      <c r="M295" s="33"/>
      <c r="N295" s="33"/>
      <c r="O295" s="33"/>
      <c r="P295" s="16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ht="15.75" customHeight="1" spans="1:28">
      <c r="A296" s="33"/>
      <c r="B296" s="33"/>
      <c r="C296" s="33"/>
      <c r="D296" s="33"/>
      <c r="E296" s="33"/>
      <c r="F296" s="33"/>
      <c r="G296" s="60"/>
      <c r="H296" s="60"/>
      <c r="I296" s="60"/>
      <c r="J296" s="123"/>
      <c r="K296" s="162"/>
      <c r="L296" s="33"/>
      <c r="M296" s="33"/>
      <c r="N296" s="33"/>
      <c r="O296" s="33"/>
      <c r="P296" s="16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ht="15.75" customHeight="1" spans="1:28">
      <c r="A297" s="33"/>
      <c r="B297" s="33"/>
      <c r="C297" s="33"/>
      <c r="D297" s="33"/>
      <c r="E297" s="33"/>
      <c r="F297" s="33"/>
      <c r="G297" s="60"/>
      <c r="H297" s="60"/>
      <c r="I297" s="60"/>
      <c r="J297" s="123"/>
      <c r="K297" s="162"/>
      <c r="L297" s="33"/>
      <c r="M297" s="33"/>
      <c r="N297" s="33"/>
      <c r="O297" s="33"/>
      <c r="P297" s="16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ht="15.75" customHeight="1" spans="1:28">
      <c r="A298" s="33"/>
      <c r="B298" s="33"/>
      <c r="C298" s="33"/>
      <c r="D298" s="33"/>
      <c r="E298" s="33"/>
      <c r="F298" s="33"/>
      <c r="G298" s="60"/>
      <c r="H298" s="60"/>
      <c r="I298" s="60"/>
      <c r="J298" s="123"/>
      <c r="K298" s="162"/>
      <c r="L298" s="33"/>
      <c r="M298" s="33"/>
      <c r="N298" s="33"/>
      <c r="O298" s="33"/>
      <c r="P298" s="16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ht="15.75" customHeight="1" spans="1:28">
      <c r="A299" s="33"/>
      <c r="B299" s="33"/>
      <c r="C299" s="33"/>
      <c r="D299" s="33"/>
      <c r="E299" s="33"/>
      <c r="F299" s="33"/>
      <c r="G299" s="60"/>
      <c r="H299" s="60"/>
      <c r="I299" s="60"/>
      <c r="J299" s="123"/>
      <c r="K299" s="162"/>
      <c r="L299" s="33"/>
      <c r="M299" s="33"/>
      <c r="N299" s="33"/>
      <c r="O299" s="33"/>
      <c r="P299" s="16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ht="15.75" customHeight="1" spans="1:28">
      <c r="A300" s="33"/>
      <c r="B300" s="33"/>
      <c r="C300" s="33"/>
      <c r="D300" s="33"/>
      <c r="E300" s="33"/>
      <c r="F300" s="33"/>
      <c r="G300" s="60"/>
      <c r="H300" s="60"/>
      <c r="I300" s="60"/>
      <c r="J300" s="123"/>
      <c r="K300" s="162"/>
      <c r="L300" s="33"/>
      <c r="M300" s="33"/>
      <c r="N300" s="33"/>
      <c r="O300" s="33"/>
      <c r="P300" s="16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ht="15.75" customHeight="1" spans="1:28">
      <c r="A301" s="33"/>
      <c r="B301" s="33"/>
      <c r="C301" s="33"/>
      <c r="D301" s="33"/>
      <c r="E301" s="33"/>
      <c r="F301" s="33"/>
      <c r="G301" s="60"/>
      <c r="H301" s="60"/>
      <c r="I301" s="60"/>
      <c r="J301" s="123"/>
      <c r="K301" s="162"/>
      <c r="L301" s="33"/>
      <c r="M301" s="33"/>
      <c r="N301" s="33"/>
      <c r="O301" s="33"/>
      <c r="P301" s="16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ht="15.75" customHeight="1" spans="1:28">
      <c r="A302" s="33"/>
      <c r="B302" s="33"/>
      <c r="C302" s="33"/>
      <c r="D302" s="33"/>
      <c r="E302" s="33"/>
      <c r="F302" s="33"/>
      <c r="G302" s="60"/>
      <c r="H302" s="60"/>
      <c r="I302" s="60"/>
      <c r="J302" s="123"/>
      <c r="K302" s="162"/>
      <c r="L302" s="33"/>
      <c r="M302" s="33"/>
      <c r="N302" s="33"/>
      <c r="O302" s="33"/>
      <c r="P302" s="16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ht="15.75" customHeight="1" spans="1:28">
      <c r="A303" s="33"/>
      <c r="B303" s="33"/>
      <c r="C303" s="33"/>
      <c r="D303" s="33"/>
      <c r="E303" s="33"/>
      <c r="F303" s="33"/>
      <c r="G303" s="60"/>
      <c r="H303" s="60"/>
      <c r="I303" s="60"/>
      <c r="J303" s="123"/>
      <c r="K303" s="162"/>
      <c r="L303" s="33"/>
      <c r="M303" s="33"/>
      <c r="N303" s="33"/>
      <c r="O303" s="33"/>
      <c r="P303" s="16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ht="15.75" customHeight="1" spans="1:28">
      <c r="A304" s="33"/>
      <c r="B304" s="33"/>
      <c r="C304" s="33"/>
      <c r="D304" s="33"/>
      <c r="E304" s="33"/>
      <c r="F304" s="33"/>
      <c r="G304" s="60"/>
      <c r="H304" s="60"/>
      <c r="I304" s="60"/>
      <c r="J304" s="123"/>
      <c r="K304" s="162"/>
      <c r="L304" s="33"/>
      <c r="M304" s="33"/>
      <c r="N304" s="33"/>
      <c r="O304" s="33"/>
      <c r="P304" s="16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ht="15.75" customHeight="1" spans="1:28">
      <c r="A305" s="33"/>
      <c r="B305" s="33"/>
      <c r="C305" s="33"/>
      <c r="D305" s="33"/>
      <c r="E305" s="33"/>
      <c r="F305" s="33"/>
      <c r="G305" s="60"/>
      <c r="H305" s="60"/>
      <c r="I305" s="60"/>
      <c r="J305" s="123"/>
      <c r="K305" s="162"/>
      <c r="L305" s="33"/>
      <c r="M305" s="33"/>
      <c r="N305" s="33"/>
      <c r="O305" s="33"/>
      <c r="P305" s="16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ht="15.75" customHeight="1" spans="1:28">
      <c r="A306" s="33"/>
      <c r="B306" s="33"/>
      <c r="C306" s="33"/>
      <c r="D306" s="33"/>
      <c r="E306" s="33"/>
      <c r="F306" s="33"/>
      <c r="G306" s="60"/>
      <c r="H306" s="60"/>
      <c r="I306" s="60"/>
      <c r="J306" s="123"/>
      <c r="K306" s="162"/>
      <c r="L306" s="33"/>
      <c r="M306" s="33"/>
      <c r="N306" s="33"/>
      <c r="O306" s="33"/>
      <c r="P306" s="16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ht="15.75" customHeight="1" spans="1:28">
      <c r="A307" s="33"/>
      <c r="B307" s="33"/>
      <c r="C307" s="33"/>
      <c r="D307" s="33"/>
      <c r="E307" s="33"/>
      <c r="F307" s="33"/>
      <c r="G307" s="60"/>
      <c r="H307" s="60"/>
      <c r="I307" s="60"/>
      <c r="J307" s="123"/>
      <c r="K307" s="162"/>
      <c r="L307" s="33"/>
      <c r="M307" s="33"/>
      <c r="N307" s="33"/>
      <c r="O307" s="33"/>
      <c r="P307" s="16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ht="15.75" customHeight="1" spans="1:28">
      <c r="A308" s="33"/>
      <c r="B308" s="33"/>
      <c r="C308" s="33"/>
      <c r="D308" s="33"/>
      <c r="E308" s="33"/>
      <c r="F308" s="33"/>
      <c r="G308" s="60"/>
      <c r="H308" s="60"/>
      <c r="I308" s="60"/>
      <c r="J308" s="123"/>
      <c r="K308" s="162"/>
      <c r="L308" s="33"/>
      <c r="M308" s="33"/>
      <c r="N308" s="33"/>
      <c r="O308" s="33"/>
      <c r="P308" s="16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ht="15.75" customHeight="1" spans="1:28">
      <c r="A309" s="33"/>
      <c r="B309" s="33"/>
      <c r="C309" s="33"/>
      <c r="D309" s="33"/>
      <c r="E309" s="33"/>
      <c r="F309" s="33"/>
      <c r="G309" s="60"/>
      <c r="H309" s="60"/>
      <c r="I309" s="60"/>
      <c r="J309" s="123"/>
      <c r="K309" s="162"/>
      <c r="L309" s="33"/>
      <c r="M309" s="33"/>
      <c r="N309" s="33"/>
      <c r="O309" s="33"/>
      <c r="P309" s="16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ht="15.75" customHeight="1" spans="1:28">
      <c r="A310" s="33"/>
      <c r="B310" s="33"/>
      <c r="C310" s="33"/>
      <c r="D310" s="33"/>
      <c r="E310" s="33"/>
      <c r="F310" s="33"/>
      <c r="G310" s="60"/>
      <c r="H310" s="60"/>
      <c r="I310" s="60"/>
      <c r="J310" s="123"/>
      <c r="K310" s="162"/>
      <c r="L310" s="33"/>
      <c r="M310" s="33"/>
      <c r="N310" s="33"/>
      <c r="O310" s="33"/>
      <c r="P310" s="16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ht="15.75" customHeight="1" spans="1:28">
      <c r="A311" s="33"/>
      <c r="B311" s="33"/>
      <c r="C311" s="33"/>
      <c r="D311" s="33"/>
      <c r="E311" s="33"/>
      <c r="F311" s="33"/>
      <c r="G311" s="60"/>
      <c r="H311" s="60"/>
      <c r="I311" s="60"/>
      <c r="J311" s="123"/>
      <c r="K311" s="162"/>
      <c r="L311" s="33"/>
      <c r="M311" s="33"/>
      <c r="N311" s="33"/>
      <c r="O311" s="33"/>
      <c r="P311" s="16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ht="15.75" customHeight="1" spans="1:28">
      <c r="A312" s="33"/>
      <c r="B312" s="33"/>
      <c r="C312" s="33"/>
      <c r="D312" s="33"/>
      <c r="E312" s="33"/>
      <c r="F312" s="33"/>
      <c r="G312" s="60"/>
      <c r="H312" s="60"/>
      <c r="I312" s="60"/>
      <c r="J312" s="123"/>
      <c r="K312" s="162"/>
      <c r="L312" s="33"/>
      <c r="M312" s="33"/>
      <c r="N312" s="33"/>
      <c r="O312" s="33"/>
      <c r="P312" s="16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ht="15.75" customHeight="1" spans="1:28">
      <c r="A313" s="33"/>
      <c r="B313" s="33"/>
      <c r="C313" s="33"/>
      <c r="D313" s="33"/>
      <c r="E313" s="33"/>
      <c r="F313" s="33"/>
      <c r="G313" s="60"/>
      <c r="H313" s="60"/>
      <c r="I313" s="60"/>
      <c r="J313" s="88"/>
      <c r="K313" s="162"/>
      <c r="L313" s="33"/>
      <c r="M313" s="33"/>
      <c r="N313" s="33"/>
      <c r="O313" s="33"/>
      <c r="P313" s="16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ht="15.75" customHeight="1" spans="1:28">
      <c r="A314" s="33"/>
      <c r="B314" s="33"/>
      <c r="C314" s="33"/>
      <c r="D314" s="33"/>
      <c r="E314" s="33"/>
      <c r="F314" s="33"/>
      <c r="G314" s="60"/>
      <c r="H314" s="60"/>
      <c r="I314" s="60"/>
      <c r="J314" s="123"/>
      <c r="K314" s="162"/>
      <c r="L314" s="33"/>
      <c r="M314" s="33"/>
      <c r="N314" s="33"/>
      <c r="O314" s="33"/>
      <c r="P314" s="16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ht="15.75" customHeight="1" spans="1:28">
      <c r="A315" s="33"/>
      <c r="B315" s="33"/>
      <c r="C315" s="33"/>
      <c r="D315" s="33"/>
      <c r="E315" s="33"/>
      <c r="F315" s="33"/>
      <c r="G315" s="60"/>
      <c r="H315" s="60"/>
      <c r="I315" s="60"/>
      <c r="J315" s="88"/>
      <c r="K315" s="162"/>
      <c r="L315" s="33"/>
      <c r="M315" s="33"/>
      <c r="N315" s="33"/>
      <c r="O315" s="33"/>
      <c r="P315" s="16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ht="15.75" customHeight="1" spans="1:28">
      <c r="A316" s="33"/>
      <c r="B316" s="33"/>
      <c r="C316" s="33"/>
      <c r="D316" s="33"/>
      <c r="E316" s="33"/>
      <c r="F316" s="33"/>
      <c r="G316" s="60"/>
      <c r="H316" s="60"/>
      <c r="I316" s="60"/>
      <c r="J316" s="88"/>
      <c r="K316" s="162"/>
      <c r="L316" s="33"/>
      <c r="M316" s="33"/>
      <c r="N316" s="33"/>
      <c r="O316" s="33"/>
      <c r="P316" s="16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ht="15.75" customHeight="1" spans="1:28">
      <c r="A317" s="33"/>
      <c r="B317" s="33"/>
      <c r="C317" s="33"/>
      <c r="D317" s="33"/>
      <c r="E317" s="33"/>
      <c r="F317" s="33"/>
      <c r="G317" s="60"/>
      <c r="H317" s="60"/>
      <c r="I317" s="60"/>
      <c r="J317" s="88"/>
      <c r="K317" s="162"/>
      <c r="L317" s="33"/>
      <c r="M317" s="33"/>
      <c r="N317" s="33"/>
      <c r="O317" s="33"/>
      <c r="P317" s="16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ht="15.75" customHeight="1" spans="1:28">
      <c r="A318" s="33"/>
      <c r="B318" s="33"/>
      <c r="C318" s="33"/>
      <c r="D318" s="33"/>
      <c r="E318" s="33"/>
      <c r="F318" s="33"/>
      <c r="G318" s="60"/>
      <c r="H318" s="60"/>
      <c r="I318" s="60"/>
      <c r="J318" s="88"/>
      <c r="K318" s="162"/>
      <c r="L318" s="33"/>
      <c r="M318" s="33"/>
      <c r="N318" s="33"/>
      <c r="O318" s="33"/>
      <c r="P318" s="16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ht="15.75" customHeight="1" spans="1:28">
      <c r="A319" s="33"/>
      <c r="B319" s="33"/>
      <c r="C319" s="33"/>
      <c r="D319" s="33"/>
      <c r="E319" s="33"/>
      <c r="F319" s="33"/>
      <c r="G319" s="60"/>
      <c r="H319" s="60"/>
      <c r="I319" s="60"/>
      <c r="J319" s="88"/>
      <c r="K319" s="162"/>
      <c r="L319" s="33"/>
      <c r="M319" s="33"/>
      <c r="N319" s="33"/>
      <c r="O319" s="33"/>
      <c r="P319" s="16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ht="15.75" customHeight="1" spans="1:28">
      <c r="A320" s="33"/>
      <c r="B320" s="33"/>
      <c r="C320" s="33"/>
      <c r="D320" s="33"/>
      <c r="E320" s="33"/>
      <c r="F320" s="33"/>
      <c r="G320" s="60"/>
      <c r="H320" s="60"/>
      <c r="I320" s="60"/>
      <c r="J320" s="88"/>
      <c r="K320" s="162"/>
      <c r="L320" s="33"/>
      <c r="M320" s="33"/>
      <c r="N320" s="33"/>
      <c r="O320" s="33"/>
      <c r="P320" s="16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ht="15.75" customHeight="1" spans="1:28">
      <c r="A321" s="33"/>
      <c r="B321" s="33"/>
      <c r="C321" s="33"/>
      <c r="D321" s="33"/>
      <c r="E321" s="33"/>
      <c r="F321" s="33"/>
      <c r="G321" s="60"/>
      <c r="H321" s="60"/>
      <c r="I321" s="60"/>
      <c r="J321" s="88"/>
      <c r="K321" s="162"/>
      <c r="L321" s="33"/>
      <c r="M321" s="33"/>
      <c r="N321" s="33"/>
      <c r="O321" s="33"/>
      <c r="P321" s="16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ht="15.75" customHeight="1" spans="1:28">
      <c r="A322" s="33"/>
      <c r="B322" s="33"/>
      <c r="C322" s="33"/>
      <c r="D322" s="33"/>
      <c r="E322" s="33"/>
      <c r="F322" s="33"/>
      <c r="G322" s="60"/>
      <c r="H322" s="60"/>
      <c r="I322" s="60"/>
      <c r="J322" s="88"/>
      <c r="K322" s="162"/>
      <c r="L322" s="33"/>
      <c r="M322" s="33"/>
      <c r="N322" s="33"/>
      <c r="O322" s="33"/>
      <c r="P322" s="16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ht="15.75" customHeight="1" spans="1:28">
      <c r="A323" s="33"/>
      <c r="B323" s="33"/>
      <c r="C323" s="33"/>
      <c r="D323" s="33"/>
      <c r="E323" s="33"/>
      <c r="F323" s="33"/>
      <c r="G323" s="60"/>
      <c r="H323" s="60"/>
      <c r="I323" s="60"/>
      <c r="J323" s="88"/>
      <c r="K323" s="162"/>
      <c r="L323" s="33"/>
      <c r="M323" s="33"/>
      <c r="N323" s="33"/>
      <c r="O323" s="33"/>
      <c r="P323" s="16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ht="15.75" customHeight="1" spans="1:28">
      <c r="A324" s="33"/>
      <c r="B324" s="33"/>
      <c r="C324" s="33"/>
      <c r="D324" s="33"/>
      <c r="E324" s="33"/>
      <c r="F324" s="33"/>
      <c r="G324" s="60"/>
      <c r="H324" s="60"/>
      <c r="I324" s="60"/>
      <c r="J324" s="88"/>
      <c r="K324" s="162"/>
      <c r="L324" s="33"/>
      <c r="M324" s="33"/>
      <c r="N324" s="33"/>
      <c r="O324" s="33"/>
      <c r="P324" s="16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ht="15.75" customHeight="1" spans="1:28">
      <c r="A325" s="33"/>
      <c r="B325" s="33"/>
      <c r="C325" s="33"/>
      <c r="D325" s="33"/>
      <c r="E325" s="33"/>
      <c r="F325" s="33"/>
      <c r="G325" s="60"/>
      <c r="H325" s="60"/>
      <c r="I325" s="60"/>
      <c r="J325" s="88"/>
      <c r="K325" s="162"/>
      <c r="L325" s="33"/>
      <c r="M325" s="33"/>
      <c r="N325" s="33"/>
      <c r="O325" s="33"/>
      <c r="P325" s="16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ht="15.75" customHeight="1" spans="1:28">
      <c r="A326" s="33"/>
      <c r="B326" s="33"/>
      <c r="C326" s="33"/>
      <c r="D326" s="33"/>
      <c r="E326" s="33"/>
      <c r="F326" s="33"/>
      <c r="G326" s="60"/>
      <c r="H326" s="60"/>
      <c r="I326" s="60"/>
      <c r="J326" s="88"/>
      <c r="K326" s="162"/>
      <c r="L326" s="33"/>
      <c r="M326" s="33"/>
      <c r="N326" s="33"/>
      <c r="O326" s="33"/>
      <c r="P326" s="16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ht="15.75" customHeight="1" spans="1:28">
      <c r="A327" s="33"/>
      <c r="B327" s="33"/>
      <c r="C327" s="33"/>
      <c r="D327" s="33"/>
      <c r="E327" s="33"/>
      <c r="F327" s="33"/>
      <c r="G327" s="60"/>
      <c r="H327" s="60"/>
      <c r="I327" s="60"/>
      <c r="J327" s="88"/>
      <c r="K327" s="162"/>
      <c r="L327" s="33"/>
      <c r="M327" s="33"/>
      <c r="N327" s="33"/>
      <c r="O327" s="33"/>
      <c r="P327" s="16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ht="15.75" customHeight="1" spans="1:28">
      <c r="A328" s="33"/>
      <c r="B328" s="33"/>
      <c r="C328" s="33"/>
      <c r="D328" s="33"/>
      <c r="E328" s="33"/>
      <c r="F328" s="33"/>
      <c r="G328" s="60"/>
      <c r="H328" s="60"/>
      <c r="I328" s="60"/>
      <c r="J328" s="88"/>
      <c r="K328" s="162"/>
      <c r="L328" s="33"/>
      <c r="M328" s="33"/>
      <c r="N328" s="33"/>
      <c r="O328" s="33"/>
      <c r="P328" s="16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ht="15.75" customHeight="1" spans="1:28">
      <c r="A329" s="33"/>
      <c r="B329" s="33"/>
      <c r="C329" s="33"/>
      <c r="D329" s="33"/>
      <c r="E329" s="33"/>
      <c r="F329" s="33"/>
      <c r="G329" s="60"/>
      <c r="H329" s="60"/>
      <c r="I329" s="60"/>
      <c r="J329" s="88"/>
      <c r="K329" s="162"/>
      <c r="L329" s="33"/>
      <c r="M329" s="33"/>
      <c r="N329" s="33"/>
      <c r="O329" s="33"/>
      <c r="P329" s="16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ht="15.75" customHeight="1" spans="1:28">
      <c r="A330" s="33"/>
      <c r="B330" s="33"/>
      <c r="C330" s="33"/>
      <c r="D330" s="33"/>
      <c r="E330" s="33"/>
      <c r="F330" s="33"/>
      <c r="G330" s="60"/>
      <c r="H330" s="60"/>
      <c r="I330" s="60"/>
      <c r="J330" s="88"/>
      <c r="K330" s="162"/>
      <c r="L330" s="33"/>
      <c r="M330" s="33"/>
      <c r="N330" s="33"/>
      <c r="O330" s="33"/>
      <c r="P330" s="16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ht="15.75" customHeight="1" spans="1:28">
      <c r="A331" s="33"/>
      <c r="B331" s="33"/>
      <c r="C331" s="33"/>
      <c r="D331" s="33"/>
      <c r="E331" s="33"/>
      <c r="F331" s="33"/>
      <c r="G331" s="60"/>
      <c r="H331" s="60"/>
      <c r="I331" s="60"/>
      <c r="J331" s="88"/>
      <c r="K331" s="162"/>
      <c r="L331" s="33"/>
      <c r="M331" s="33"/>
      <c r="N331" s="33"/>
      <c r="O331" s="33"/>
      <c r="P331" s="16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ht="15.75" customHeight="1" spans="1:28">
      <c r="A332" s="33"/>
      <c r="B332" s="33"/>
      <c r="C332" s="33"/>
      <c r="D332" s="33"/>
      <c r="E332" s="33"/>
      <c r="F332" s="33"/>
      <c r="G332" s="60"/>
      <c r="H332" s="60"/>
      <c r="I332" s="60"/>
      <c r="J332" s="88"/>
      <c r="K332" s="162"/>
      <c r="L332" s="33"/>
      <c r="M332" s="33"/>
      <c r="N332" s="33"/>
      <c r="O332" s="33"/>
      <c r="P332" s="16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ht="15.75" customHeight="1" spans="1:28">
      <c r="A333" s="33"/>
      <c r="B333" s="33"/>
      <c r="C333" s="33"/>
      <c r="D333" s="33"/>
      <c r="E333" s="33"/>
      <c r="F333" s="33"/>
      <c r="G333" s="60"/>
      <c r="H333" s="60"/>
      <c r="I333" s="60"/>
      <c r="J333" s="88"/>
      <c r="K333" s="162"/>
      <c r="L333" s="33"/>
      <c r="M333" s="33"/>
      <c r="N333" s="33"/>
      <c r="O333" s="33"/>
      <c r="P333" s="16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ht="15.75" customHeight="1" spans="1:28">
      <c r="A334" s="33"/>
      <c r="B334" s="33"/>
      <c r="C334" s="33"/>
      <c r="D334" s="33"/>
      <c r="E334" s="33"/>
      <c r="F334" s="33"/>
      <c r="G334" s="60"/>
      <c r="H334" s="60"/>
      <c r="I334" s="60"/>
      <c r="J334" s="88"/>
      <c r="K334" s="162"/>
      <c r="L334" s="33"/>
      <c r="M334" s="33"/>
      <c r="N334" s="33"/>
      <c r="O334" s="33"/>
      <c r="P334" s="16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ht="15.75" customHeight="1" spans="1:28">
      <c r="A335" s="33"/>
      <c r="B335" s="33"/>
      <c r="C335" s="33"/>
      <c r="D335" s="33"/>
      <c r="E335" s="33"/>
      <c r="F335" s="33"/>
      <c r="G335" s="60"/>
      <c r="H335" s="60"/>
      <c r="I335" s="60"/>
      <c r="J335" s="88"/>
      <c r="K335" s="162"/>
      <c r="L335" s="33"/>
      <c r="M335" s="33"/>
      <c r="N335" s="33"/>
      <c r="O335" s="33"/>
      <c r="P335" s="16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ht="15.75" customHeight="1" spans="1:28">
      <c r="A336" s="33"/>
      <c r="B336" s="33"/>
      <c r="C336" s="33"/>
      <c r="D336" s="33"/>
      <c r="E336" s="33"/>
      <c r="F336" s="33"/>
      <c r="G336" s="60"/>
      <c r="H336" s="60"/>
      <c r="I336" s="60"/>
      <c r="J336" s="88"/>
      <c r="K336" s="162"/>
      <c r="L336" s="33"/>
      <c r="M336" s="33"/>
      <c r="N336" s="33"/>
      <c r="O336" s="33"/>
      <c r="P336" s="16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ht="15.75" customHeight="1" spans="1:28">
      <c r="A337" s="33"/>
      <c r="B337" s="33"/>
      <c r="C337" s="33"/>
      <c r="D337" s="33"/>
      <c r="E337" s="33"/>
      <c r="F337" s="33"/>
      <c r="G337" s="60"/>
      <c r="H337" s="60"/>
      <c r="I337" s="60"/>
      <c r="J337" s="88"/>
      <c r="K337" s="162"/>
      <c r="L337" s="33"/>
      <c r="M337" s="33"/>
      <c r="N337" s="33"/>
      <c r="O337" s="33"/>
      <c r="P337" s="16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ht="15.75" customHeight="1" spans="1:28">
      <c r="A338" s="33"/>
      <c r="B338" s="33"/>
      <c r="C338" s="33"/>
      <c r="D338" s="33"/>
      <c r="E338" s="33"/>
      <c r="F338" s="33"/>
      <c r="G338" s="60"/>
      <c r="H338" s="60"/>
      <c r="I338" s="60"/>
      <c r="J338" s="88"/>
      <c r="K338" s="162"/>
      <c r="L338" s="33"/>
      <c r="M338" s="33"/>
      <c r="N338" s="33"/>
      <c r="O338" s="33"/>
      <c r="P338" s="16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ht="15.75" customHeight="1" spans="1:28">
      <c r="A339" s="33"/>
      <c r="B339" s="33"/>
      <c r="C339" s="33"/>
      <c r="D339" s="33"/>
      <c r="E339" s="33"/>
      <c r="F339" s="33"/>
      <c r="G339" s="60"/>
      <c r="H339" s="60"/>
      <c r="I339" s="60"/>
      <c r="J339" s="88"/>
      <c r="K339" s="162"/>
      <c r="L339" s="33"/>
      <c r="M339" s="33"/>
      <c r="N339" s="33"/>
      <c r="O339" s="33"/>
      <c r="P339" s="16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ht="15.75" customHeight="1" spans="1:28">
      <c r="A340" s="33"/>
      <c r="B340" s="33"/>
      <c r="C340" s="33"/>
      <c r="D340" s="33"/>
      <c r="E340" s="33"/>
      <c r="F340" s="33"/>
      <c r="G340" s="60"/>
      <c r="H340" s="60"/>
      <c r="I340" s="60"/>
      <c r="J340" s="88"/>
      <c r="K340" s="162"/>
      <c r="L340" s="33"/>
      <c r="M340" s="33"/>
      <c r="N340" s="33"/>
      <c r="O340" s="33"/>
      <c r="P340" s="16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ht="15.75" customHeight="1" spans="1:28">
      <c r="A341" s="33"/>
      <c r="B341" s="33"/>
      <c r="C341" s="33"/>
      <c r="D341" s="33"/>
      <c r="E341" s="33"/>
      <c r="F341" s="33"/>
      <c r="G341" s="60"/>
      <c r="H341" s="60"/>
      <c r="I341" s="60"/>
      <c r="J341" s="88"/>
      <c r="K341" s="162"/>
      <c r="L341" s="33"/>
      <c r="M341" s="33"/>
      <c r="N341" s="33"/>
      <c r="O341" s="33"/>
      <c r="P341" s="16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ht="15.75" customHeight="1" spans="1:28">
      <c r="A342" s="33"/>
      <c r="B342" s="33"/>
      <c r="C342" s="33"/>
      <c r="D342" s="33"/>
      <c r="E342" s="33"/>
      <c r="F342" s="33"/>
      <c r="G342" s="60"/>
      <c r="H342" s="60"/>
      <c r="I342" s="60"/>
      <c r="J342" s="161"/>
      <c r="K342" s="162"/>
      <c r="L342" s="33"/>
      <c r="M342" s="33"/>
      <c r="N342" s="33"/>
      <c r="O342" s="33"/>
      <c r="P342" s="16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ht="15.75" customHeight="1" spans="1:28">
      <c r="A343" s="33"/>
      <c r="B343" s="33"/>
      <c r="C343" s="33"/>
      <c r="D343" s="33"/>
      <c r="E343" s="33"/>
      <c r="F343" s="33"/>
      <c r="G343" s="60"/>
      <c r="H343" s="60"/>
      <c r="I343" s="60"/>
      <c r="J343" s="88"/>
      <c r="K343" s="162"/>
      <c r="L343" s="33"/>
      <c r="M343" s="33"/>
      <c r="N343" s="33"/>
      <c r="O343" s="33"/>
      <c r="P343" s="16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ht="15.75" customHeight="1" spans="1:28">
      <c r="A344" s="33"/>
      <c r="B344" s="33"/>
      <c r="C344" s="33"/>
      <c r="D344" s="33"/>
      <c r="E344" s="33"/>
      <c r="F344" s="33"/>
      <c r="G344" s="60"/>
      <c r="H344" s="60"/>
      <c r="I344" s="60"/>
      <c r="J344" s="88"/>
      <c r="K344" s="162"/>
      <c r="L344" s="33"/>
      <c r="M344" s="33"/>
      <c r="N344" s="33"/>
      <c r="O344" s="33"/>
      <c r="P344" s="16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ht="15.75" customHeight="1" spans="1:28">
      <c r="A345" s="33"/>
      <c r="B345" s="33"/>
      <c r="C345" s="33"/>
      <c r="D345" s="33"/>
      <c r="E345" s="33"/>
      <c r="F345" s="33"/>
      <c r="G345" s="60"/>
      <c r="H345" s="60"/>
      <c r="I345" s="60"/>
      <c r="J345" s="88"/>
      <c r="K345" s="162"/>
      <c r="L345" s="33"/>
      <c r="M345" s="33"/>
      <c r="N345" s="33"/>
      <c r="O345" s="33"/>
      <c r="P345" s="16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ht="15.75" customHeight="1" spans="1:28">
      <c r="A346" s="33"/>
      <c r="B346" s="33"/>
      <c r="C346" s="33"/>
      <c r="D346" s="33"/>
      <c r="E346" s="33"/>
      <c r="F346" s="33"/>
      <c r="G346" s="60"/>
      <c r="H346" s="60"/>
      <c r="I346" s="60"/>
      <c r="J346" s="88"/>
      <c r="K346" s="162"/>
      <c r="L346" s="33"/>
      <c r="M346" s="33"/>
      <c r="N346" s="33"/>
      <c r="O346" s="33"/>
      <c r="P346" s="16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ht="15.75" customHeight="1" spans="1:28">
      <c r="A347" s="33"/>
      <c r="B347" s="33"/>
      <c r="C347" s="33"/>
      <c r="D347" s="33"/>
      <c r="E347" s="33"/>
      <c r="F347" s="33"/>
      <c r="G347" s="60"/>
      <c r="H347" s="60"/>
      <c r="I347" s="60"/>
      <c r="J347" s="88"/>
      <c r="K347" s="162"/>
      <c r="L347" s="33"/>
      <c r="M347" s="33"/>
      <c r="N347" s="33"/>
      <c r="O347" s="33"/>
      <c r="P347" s="16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ht="15.75" customHeight="1" spans="1:28">
      <c r="A348" s="33"/>
      <c r="B348" s="33"/>
      <c r="C348" s="33"/>
      <c r="D348" s="33"/>
      <c r="E348" s="33"/>
      <c r="F348" s="33"/>
      <c r="G348" s="60"/>
      <c r="H348" s="60"/>
      <c r="I348" s="60"/>
      <c r="J348" s="88"/>
      <c r="K348" s="162"/>
      <c r="L348" s="33"/>
      <c r="M348" s="33"/>
      <c r="N348" s="33"/>
      <c r="O348" s="33"/>
      <c r="P348" s="16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ht="15.75" customHeight="1" spans="1:28">
      <c r="A349" s="33"/>
      <c r="B349" s="33"/>
      <c r="C349" s="33"/>
      <c r="D349" s="33"/>
      <c r="E349" s="33"/>
      <c r="F349" s="33"/>
      <c r="G349" s="60"/>
      <c r="H349" s="60"/>
      <c r="I349" s="60"/>
      <c r="J349" s="88"/>
      <c r="K349" s="162"/>
      <c r="L349" s="33"/>
      <c r="M349" s="33"/>
      <c r="N349" s="33"/>
      <c r="O349" s="33"/>
      <c r="P349" s="16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ht="15.75" customHeight="1" spans="1:28">
      <c r="A350" s="33"/>
      <c r="B350" s="33"/>
      <c r="C350" s="33"/>
      <c r="D350" s="33"/>
      <c r="E350" s="33"/>
      <c r="F350" s="33"/>
      <c r="G350" s="60"/>
      <c r="H350" s="60"/>
      <c r="I350" s="60"/>
      <c r="J350" s="88"/>
      <c r="K350" s="162"/>
      <c r="L350" s="33"/>
      <c r="M350" s="33"/>
      <c r="N350" s="33"/>
      <c r="O350" s="33"/>
      <c r="P350" s="16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ht="15.75" customHeight="1" spans="1:28">
      <c r="A351" s="33"/>
      <c r="B351" s="33"/>
      <c r="C351" s="33"/>
      <c r="D351" s="33"/>
      <c r="E351" s="33"/>
      <c r="F351" s="33"/>
      <c r="G351" s="60"/>
      <c r="H351" s="60"/>
      <c r="I351" s="60"/>
      <c r="J351" s="88"/>
      <c r="K351" s="162"/>
      <c r="L351" s="33"/>
      <c r="M351" s="33"/>
      <c r="N351" s="33"/>
      <c r="O351" s="33"/>
      <c r="P351" s="16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ht="15.75" customHeight="1" spans="1:28">
      <c r="A352" s="33"/>
      <c r="B352" s="33"/>
      <c r="C352" s="33"/>
      <c r="D352" s="33"/>
      <c r="E352" s="33"/>
      <c r="F352" s="33"/>
      <c r="G352" s="60"/>
      <c r="H352" s="60"/>
      <c r="I352" s="60"/>
      <c r="J352" s="88"/>
      <c r="K352" s="162"/>
      <c r="L352" s="33"/>
      <c r="M352" s="33"/>
      <c r="N352" s="33"/>
      <c r="O352" s="33"/>
      <c r="P352" s="16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ht="15.75" customHeight="1" spans="1:28">
      <c r="A353" s="33"/>
      <c r="B353" s="33"/>
      <c r="C353" s="33"/>
      <c r="D353" s="33"/>
      <c r="E353" s="33"/>
      <c r="F353" s="33"/>
      <c r="G353" s="60"/>
      <c r="H353" s="60"/>
      <c r="I353" s="60"/>
      <c r="J353" s="88"/>
      <c r="K353" s="162"/>
      <c r="L353" s="33"/>
      <c r="M353" s="33"/>
      <c r="N353" s="33"/>
      <c r="O353" s="33"/>
      <c r="P353" s="16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ht="15.75" customHeight="1" spans="1:28">
      <c r="A354" s="33"/>
      <c r="B354" s="33"/>
      <c r="C354" s="33"/>
      <c r="D354" s="33"/>
      <c r="E354" s="33"/>
      <c r="F354" s="33"/>
      <c r="G354" s="60"/>
      <c r="H354" s="60"/>
      <c r="I354" s="60"/>
      <c r="J354" s="88"/>
      <c r="K354" s="162"/>
      <c r="L354" s="33"/>
      <c r="M354" s="33"/>
      <c r="N354" s="33"/>
      <c r="O354" s="33"/>
      <c r="P354" s="16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ht="15.75" customHeight="1" spans="1:28">
      <c r="A355" s="33"/>
      <c r="B355" s="33"/>
      <c r="C355" s="33"/>
      <c r="D355" s="33"/>
      <c r="E355" s="33"/>
      <c r="F355" s="33"/>
      <c r="G355" s="60"/>
      <c r="H355" s="60"/>
      <c r="I355" s="60"/>
      <c r="J355" s="88"/>
      <c r="K355" s="162"/>
      <c r="L355" s="33"/>
      <c r="M355" s="33"/>
      <c r="N355" s="33"/>
      <c r="O355" s="33"/>
      <c r="P355" s="16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ht="15.75" customHeight="1" spans="1:28">
      <c r="A356" s="33"/>
      <c r="B356" s="33"/>
      <c r="C356" s="33"/>
      <c r="D356" s="33"/>
      <c r="E356" s="33"/>
      <c r="F356" s="33"/>
      <c r="G356" s="60"/>
      <c r="H356" s="60"/>
      <c r="I356" s="60"/>
      <c r="J356" s="88"/>
      <c r="K356" s="162"/>
      <c r="L356" s="33"/>
      <c r="M356" s="33"/>
      <c r="N356" s="33"/>
      <c r="O356" s="33"/>
      <c r="P356" s="16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ht="15.75" customHeight="1" spans="1:28">
      <c r="A357" s="33"/>
      <c r="B357" s="33"/>
      <c r="C357" s="33"/>
      <c r="D357" s="33"/>
      <c r="E357" s="33"/>
      <c r="F357" s="33"/>
      <c r="G357" s="60"/>
      <c r="H357" s="60"/>
      <c r="I357" s="60"/>
      <c r="J357" s="2"/>
      <c r="K357" s="162"/>
      <c r="L357" s="33"/>
      <c r="M357" s="33"/>
      <c r="N357" s="33"/>
      <c r="O357" s="33"/>
      <c r="P357" s="16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ht="15.75" customHeight="1" spans="1:28">
      <c r="A358" s="33"/>
      <c r="B358" s="33"/>
      <c r="C358" s="33"/>
      <c r="D358" s="33"/>
      <c r="E358" s="33"/>
      <c r="F358" s="33"/>
      <c r="G358" s="60"/>
      <c r="H358" s="60"/>
      <c r="I358" s="60"/>
      <c r="J358" s="2"/>
      <c r="K358" s="162"/>
      <c r="L358" s="33"/>
      <c r="M358" s="33"/>
      <c r="N358" s="33"/>
      <c r="O358" s="33"/>
      <c r="P358" s="16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ht="15.75" customHeight="1" spans="1:28">
      <c r="A359" s="33"/>
      <c r="B359" s="33"/>
      <c r="C359" s="33"/>
      <c r="D359" s="33"/>
      <c r="E359" s="33"/>
      <c r="F359" s="33"/>
      <c r="G359" s="60"/>
      <c r="H359" s="60"/>
      <c r="I359" s="60"/>
      <c r="J359" s="2"/>
      <c r="K359" s="162"/>
      <c r="L359" s="33"/>
      <c r="M359" s="33"/>
      <c r="N359" s="33"/>
      <c r="O359" s="33"/>
      <c r="P359" s="16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ht="15.75" customHeight="1" spans="1:28">
      <c r="A360" s="33"/>
      <c r="B360" s="33"/>
      <c r="C360" s="33"/>
      <c r="D360" s="33"/>
      <c r="E360" s="33"/>
      <c r="F360" s="33"/>
      <c r="G360" s="60"/>
      <c r="H360" s="60"/>
      <c r="I360" s="60"/>
      <c r="J360" s="2"/>
      <c r="K360" s="162"/>
      <c r="L360" s="33"/>
      <c r="M360" s="33"/>
      <c r="N360" s="33"/>
      <c r="O360" s="33"/>
      <c r="P360" s="16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ht="15.75" customHeight="1" spans="1:28">
      <c r="A361" s="33"/>
      <c r="B361" s="33"/>
      <c r="C361" s="33"/>
      <c r="D361" s="33"/>
      <c r="E361" s="33"/>
      <c r="F361" s="33"/>
      <c r="G361" s="60"/>
      <c r="H361" s="60"/>
      <c r="I361" s="60"/>
      <c r="J361" s="2"/>
      <c r="K361" s="162"/>
      <c r="L361" s="33"/>
      <c r="M361" s="33"/>
      <c r="N361" s="33"/>
      <c r="O361" s="33"/>
      <c r="P361" s="16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ht="15.75" customHeight="1" spans="1:28">
      <c r="A362" s="33"/>
      <c r="B362" s="33"/>
      <c r="C362" s="33"/>
      <c r="D362" s="33"/>
      <c r="E362" s="33"/>
      <c r="F362" s="33"/>
      <c r="G362" s="60"/>
      <c r="H362" s="60"/>
      <c r="I362" s="60"/>
      <c r="J362" s="170"/>
      <c r="K362" s="162"/>
      <c r="L362" s="33"/>
      <c r="M362" s="33"/>
      <c r="N362" s="33"/>
      <c r="O362" s="33"/>
      <c r="P362" s="16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ht="15.75" customHeight="1" spans="1:28">
      <c r="A363" s="33"/>
      <c r="B363" s="33"/>
      <c r="C363" s="33"/>
      <c r="D363" s="33"/>
      <c r="E363" s="33"/>
      <c r="F363" s="33"/>
      <c r="G363" s="60"/>
      <c r="H363" s="60"/>
      <c r="I363" s="60"/>
      <c r="J363" s="2"/>
      <c r="K363" s="162"/>
      <c r="L363" s="33"/>
      <c r="M363" s="33"/>
      <c r="N363" s="33"/>
      <c r="O363" s="33"/>
      <c r="P363" s="16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ht="15.75" customHeight="1" spans="1:28">
      <c r="A364" s="33"/>
      <c r="B364" s="33"/>
      <c r="C364" s="33"/>
      <c r="D364" s="33"/>
      <c r="E364" s="33"/>
      <c r="F364" s="33"/>
      <c r="G364" s="60"/>
      <c r="H364" s="60"/>
      <c r="I364" s="60"/>
      <c r="J364" s="2"/>
      <c r="K364" s="162"/>
      <c r="L364" s="33"/>
      <c r="M364" s="33"/>
      <c r="N364" s="33"/>
      <c r="O364" s="33"/>
      <c r="P364" s="16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ht="15.75" customHeight="1" spans="1:28">
      <c r="A365" s="33"/>
      <c r="B365" s="33"/>
      <c r="C365" s="33"/>
      <c r="D365" s="33"/>
      <c r="E365" s="33"/>
      <c r="F365" s="33"/>
      <c r="G365" s="60"/>
      <c r="H365" s="60"/>
      <c r="I365" s="60"/>
      <c r="J365" s="2"/>
      <c r="K365" s="162"/>
      <c r="L365" s="33"/>
      <c r="M365" s="33"/>
      <c r="N365" s="33"/>
      <c r="O365" s="33"/>
      <c r="P365" s="16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ht="15.75" customHeight="1" spans="1:28">
      <c r="A366" s="33"/>
      <c r="B366" s="33"/>
      <c r="C366" s="33"/>
      <c r="D366" s="33"/>
      <c r="E366" s="33"/>
      <c r="F366" s="33"/>
      <c r="G366" s="60"/>
      <c r="H366" s="60"/>
      <c r="I366" s="60"/>
      <c r="J366" s="2"/>
      <c r="K366" s="162"/>
      <c r="L366" s="33"/>
      <c r="M366" s="33"/>
      <c r="N366" s="33"/>
      <c r="O366" s="33"/>
      <c r="P366" s="16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ht="15.75" customHeight="1" spans="1:28">
      <c r="A367" s="33"/>
      <c r="B367" s="33"/>
      <c r="C367" s="33"/>
      <c r="D367" s="33"/>
      <c r="E367" s="33"/>
      <c r="F367" s="33"/>
      <c r="G367" s="60"/>
      <c r="H367" s="60"/>
      <c r="I367" s="60"/>
      <c r="J367" s="2"/>
      <c r="K367" s="162"/>
      <c r="L367" s="33"/>
      <c r="M367" s="33"/>
      <c r="N367" s="33"/>
      <c r="O367" s="33"/>
      <c r="P367" s="16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ht="15.75" customHeight="1" spans="1:28">
      <c r="A368" s="33"/>
      <c r="B368" s="33"/>
      <c r="C368" s="33"/>
      <c r="D368" s="33"/>
      <c r="E368" s="33"/>
      <c r="F368" s="33"/>
      <c r="G368" s="60"/>
      <c r="H368" s="60"/>
      <c r="I368" s="60"/>
      <c r="J368" s="2"/>
      <c r="K368" s="162"/>
      <c r="L368" s="33"/>
      <c r="M368" s="33"/>
      <c r="N368" s="33"/>
      <c r="O368" s="33"/>
      <c r="P368" s="16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ht="15.75" customHeight="1" spans="1:28">
      <c r="A369" s="33"/>
      <c r="B369" s="33"/>
      <c r="C369" s="33"/>
      <c r="D369" s="33"/>
      <c r="E369" s="33"/>
      <c r="F369" s="33"/>
      <c r="G369" s="60"/>
      <c r="H369" s="60"/>
      <c r="I369" s="60"/>
      <c r="J369" s="2"/>
      <c r="K369" s="162"/>
      <c r="L369" s="33"/>
      <c r="M369" s="33"/>
      <c r="N369" s="33"/>
      <c r="O369" s="33"/>
      <c r="P369" s="16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ht="15.75" customHeight="1" spans="1:28">
      <c r="A370" s="33"/>
      <c r="B370" s="33"/>
      <c r="C370" s="33"/>
      <c r="D370" s="33"/>
      <c r="E370" s="33"/>
      <c r="F370" s="33"/>
      <c r="G370" s="60"/>
      <c r="H370" s="60"/>
      <c r="I370" s="60"/>
      <c r="J370" s="2"/>
      <c r="K370" s="162"/>
      <c r="L370" s="33"/>
      <c r="M370" s="33"/>
      <c r="N370" s="33"/>
      <c r="O370" s="33"/>
      <c r="P370" s="16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ht="15.75" customHeight="1" spans="1:28">
      <c r="A371" s="33"/>
      <c r="B371" s="33"/>
      <c r="C371" s="33"/>
      <c r="D371" s="33"/>
      <c r="E371" s="33"/>
      <c r="F371" s="33"/>
      <c r="G371" s="60"/>
      <c r="H371" s="60"/>
      <c r="I371" s="60"/>
      <c r="J371" s="2"/>
      <c r="K371" s="162"/>
      <c r="L371" s="33"/>
      <c r="M371" s="33"/>
      <c r="N371" s="33"/>
      <c r="O371" s="33"/>
      <c r="P371" s="16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ht="15.75" customHeight="1" spans="1:28">
      <c r="A372" s="33"/>
      <c r="B372" s="33"/>
      <c r="C372" s="33"/>
      <c r="D372" s="33"/>
      <c r="E372" s="33"/>
      <c r="F372" s="33"/>
      <c r="G372" s="60"/>
      <c r="H372" s="60"/>
      <c r="I372" s="60"/>
      <c r="J372" s="2"/>
      <c r="K372" s="162"/>
      <c r="L372" s="33"/>
      <c r="M372" s="33"/>
      <c r="N372" s="33"/>
      <c r="O372" s="33"/>
      <c r="P372" s="16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ht="15.75" customHeight="1" spans="1:28">
      <c r="A373" s="33"/>
      <c r="B373" s="33"/>
      <c r="C373" s="33"/>
      <c r="D373" s="33"/>
      <c r="E373" s="33"/>
      <c r="F373" s="33"/>
      <c r="G373" s="60"/>
      <c r="H373" s="60"/>
      <c r="I373" s="60"/>
      <c r="J373" s="2"/>
      <c r="K373" s="162"/>
      <c r="L373" s="33"/>
      <c r="M373" s="33"/>
      <c r="N373" s="33"/>
      <c r="O373" s="33"/>
      <c r="P373" s="16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ht="15.75" customHeight="1" spans="1:28">
      <c r="A374" s="33"/>
      <c r="B374" s="33"/>
      <c r="C374" s="33"/>
      <c r="D374" s="33"/>
      <c r="E374" s="33"/>
      <c r="F374" s="33"/>
      <c r="G374" s="60"/>
      <c r="H374" s="60"/>
      <c r="I374" s="60"/>
      <c r="J374" s="2"/>
      <c r="K374" s="162"/>
      <c r="L374" s="33"/>
      <c r="M374" s="33"/>
      <c r="N374" s="33"/>
      <c r="O374" s="33"/>
      <c r="P374" s="16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ht="15.75" customHeight="1" spans="1:28">
      <c r="A375" s="33"/>
      <c r="B375" s="33"/>
      <c r="C375" s="33"/>
      <c r="D375" s="33"/>
      <c r="E375" s="33"/>
      <c r="F375" s="33"/>
      <c r="G375" s="60"/>
      <c r="H375" s="60"/>
      <c r="I375" s="60"/>
      <c r="J375" s="2"/>
      <c r="K375" s="162"/>
      <c r="L375" s="33"/>
      <c r="M375" s="33"/>
      <c r="N375" s="33"/>
      <c r="O375" s="33"/>
      <c r="P375" s="16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</sheetData>
  <mergeCells count="3">
    <mergeCell ref="A2:E2"/>
    <mergeCell ref="F2:Q2"/>
    <mergeCell ref="A173:I173"/>
  </mergeCells>
  <dataValidations count="3">
    <dataValidation type="list" allowBlank="1" showErrorMessage="1" sqref="A4:A104">
      <formula1>#REF!</formula1>
    </dataValidation>
    <dataValidation type="list" allowBlank="1" showErrorMessage="1" sqref="A105:A172">
      <formula1>#REF!</formula1>
    </dataValidation>
    <dataValidation type="custom" allowBlank="1" sqref="L4:L104 P4:P104">
      <formula1>AND(ISNUMBER(L4),(NOT(OR(NOT(ISERROR(DATEVALUE(L4))),AND(ISNUMBER(L4),LEFT(CELL("format",L4))="D")))))</formula1>
    </dataValidation>
  </dataValidations>
  <pageMargins left="0.75" right="0.75" top="1" bottom="1" header="0.5" footer="0.5"/>
  <headerFooter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5"/>
  <sheetViews>
    <sheetView topLeftCell="A2" workbookViewId="0">
      <selection activeCell="K166" sqref="K166"/>
    </sheetView>
  </sheetViews>
  <sheetFormatPr defaultColWidth="14.4259259259259" defaultRowHeight="15" customHeight="1"/>
  <cols>
    <col min="1" max="1" width="10" style="1" customWidth="1"/>
    <col min="2" max="2" width="12.4259259259259" style="1" customWidth="1"/>
    <col min="3" max="3" width="14.287037037037" style="1" customWidth="1"/>
    <col min="4" max="4" width="19.5740740740741" style="1" customWidth="1"/>
    <col min="5" max="5" width="24.287037037037" style="1" customWidth="1"/>
    <col min="6" max="6" width="41.1111111111111" style="1" customWidth="1"/>
    <col min="7" max="7" width="15" style="1" hidden="1" customWidth="1"/>
    <col min="8" max="8" width="15.1388888888889" style="1" hidden="1" customWidth="1"/>
    <col min="9" max="9" width="14.4259259259259" style="1" customWidth="1"/>
    <col min="10" max="10" width="9.28703703703704" style="1" customWidth="1"/>
    <col min="11" max="11" width="12.712962962963" style="2" customWidth="1"/>
    <col min="12" max="12" width="17.287037037037" style="2" hidden="1" customWidth="1"/>
    <col min="13" max="15" width="13.5740740740741" style="2" hidden="1" customWidth="1"/>
    <col min="16" max="16" width="21.712962962963" style="2" customWidth="1"/>
    <col min="17" max="17" width="43" style="1" customWidth="1"/>
    <col min="18" max="16384" width="14.4259259259259" style="1"/>
  </cols>
  <sheetData>
    <row r="1" ht="13.5" customHeight="1" spans="1:28">
      <c r="A1" s="2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="1" customFormat="1" ht="37.5" customHeight="1" spans="1:28">
      <c r="A2" s="2"/>
      <c r="E2" s="5"/>
      <c r="F2" s="6" t="s">
        <v>0</v>
      </c>
      <c r="G2" s="7"/>
      <c r="H2" s="7"/>
      <c r="I2" s="7"/>
      <c r="J2" s="7"/>
      <c r="K2" s="23"/>
      <c r="L2" s="23"/>
      <c r="M2" s="23"/>
      <c r="N2" s="23"/>
      <c r="O2" s="23"/>
      <c r="P2" s="23"/>
      <c r="Q2" s="7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ht="25.5" customHeight="1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8" t="s">
        <v>7</v>
      </c>
      <c r="H3" s="9" t="s">
        <v>8</v>
      </c>
      <c r="I3" s="24" t="s">
        <v>9</v>
      </c>
      <c r="J3" s="9" t="s">
        <v>10</v>
      </c>
      <c r="K3" s="25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25" t="s">
        <v>16</v>
      </c>
      <c r="Q3" s="3" t="s">
        <v>17</v>
      </c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hidden="1" customHeight="1" spans="1:28">
      <c r="A4" s="10" t="s">
        <v>18</v>
      </c>
      <c r="B4" s="11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3">
        <v>45537</v>
      </c>
      <c r="H4" s="13">
        <v>45727</v>
      </c>
      <c r="I4" s="13">
        <v>45733</v>
      </c>
      <c r="J4" s="26" t="s">
        <v>24</v>
      </c>
      <c r="K4" s="27">
        <v>644828</v>
      </c>
      <c r="L4" s="27">
        <v>684830</v>
      </c>
      <c r="M4" s="27">
        <v>670000</v>
      </c>
      <c r="N4" s="27">
        <v>680000</v>
      </c>
      <c r="O4" s="27"/>
      <c r="P4" s="28">
        <f t="shared" ref="P4:P35" si="0">IF(J4="€",IF(O4&lt;&gt;"",O4,IF(N4&lt;&gt;"",N4,IF(M4&lt;&gt;"",M4,IF(L4&lt;&gt;"",L4,IF(K4&lt;&gt;"",K4,""))))),IF(J4="$",IF(O4&lt;&gt;"",O4,IF(N4&lt;&gt;"",N4,IF(M4&lt;&gt;"",M4,IF(L4&lt;&gt;"",L4,IF(K4&lt;&gt;"",K4,"")))))*0.93,IF(J4="TRY",IF(O4&lt;&gt;"",O4,IF(N4&lt;&gt;"",N4,IF(M4&lt;&gt;"",M4,IF(L4&lt;&gt;"",L4,IF(K4&lt;&gt;"",K4,"")))))*0.024,"")))</f>
        <v>680000</v>
      </c>
      <c r="Q4" s="10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idden="1" customHeight="1" spans="1:28">
      <c r="A5" s="10" t="s">
        <v>18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3">
        <v>45663</v>
      </c>
      <c r="H5" s="13">
        <v>45663</v>
      </c>
      <c r="I5" s="13">
        <v>45663</v>
      </c>
      <c r="J5" s="26" t="s">
        <v>24</v>
      </c>
      <c r="K5" s="27">
        <v>11500</v>
      </c>
      <c r="L5" s="27">
        <v>10700</v>
      </c>
      <c r="M5" s="27">
        <v>9500</v>
      </c>
      <c r="N5" s="27"/>
      <c r="O5" s="27"/>
      <c r="P5" s="28">
        <f t="shared" si="0"/>
        <v>9500</v>
      </c>
      <c r="Q5" s="10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idden="1" customHeight="1" spans="1:28">
      <c r="A6" s="10" t="s">
        <v>18</v>
      </c>
      <c r="B6" s="10" t="s">
        <v>30</v>
      </c>
      <c r="C6" s="10" t="s">
        <v>26</v>
      </c>
      <c r="D6" s="10" t="s">
        <v>27</v>
      </c>
      <c r="E6" s="10" t="s">
        <v>31</v>
      </c>
      <c r="F6" s="10" t="s">
        <v>32</v>
      </c>
      <c r="G6" s="13">
        <v>45663</v>
      </c>
      <c r="H6" s="13"/>
      <c r="I6" s="13"/>
      <c r="J6" s="26" t="s">
        <v>24</v>
      </c>
      <c r="K6" s="27">
        <v>28117</v>
      </c>
      <c r="L6" s="27">
        <v>15650</v>
      </c>
      <c r="M6" s="27"/>
      <c r="N6" s="27"/>
      <c r="O6" s="27"/>
      <c r="P6" s="28">
        <f t="shared" si="0"/>
        <v>15650</v>
      </c>
      <c r="Q6" s="10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idden="1" customHeight="1" spans="1:28">
      <c r="A7" s="10" t="s">
        <v>18</v>
      </c>
      <c r="B7" s="11" t="s">
        <v>33</v>
      </c>
      <c r="C7" s="12" t="s">
        <v>34</v>
      </c>
      <c r="D7" s="12" t="s">
        <v>35</v>
      </c>
      <c r="E7" s="12" t="s">
        <v>36</v>
      </c>
      <c r="F7" s="12" t="s">
        <v>37</v>
      </c>
      <c r="G7" s="13">
        <v>45586</v>
      </c>
      <c r="H7" s="13"/>
      <c r="I7" s="13"/>
      <c r="J7" s="26" t="s">
        <v>24</v>
      </c>
      <c r="K7" s="27">
        <v>76700</v>
      </c>
      <c r="L7" s="27"/>
      <c r="M7" s="27"/>
      <c r="N7" s="27"/>
      <c r="O7" s="27"/>
      <c r="P7" s="28">
        <f t="shared" si="0"/>
        <v>76700</v>
      </c>
      <c r="Q7" s="1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idden="1" customHeight="1" spans="1:28">
      <c r="A8" s="10" t="s">
        <v>18</v>
      </c>
      <c r="B8" s="10" t="s">
        <v>38</v>
      </c>
      <c r="C8" s="10" t="s">
        <v>26</v>
      </c>
      <c r="D8" s="10" t="s">
        <v>39</v>
      </c>
      <c r="E8" s="10" t="s">
        <v>40</v>
      </c>
      <c r="F8" s="10" t="s">
        <v>41</v>
      </c>
      <c r="G8" s="14">
        <v>45663</v>
      </c>
      <c r="H8" s="13"/>
      <c r="I8" s="13"/>
      <c r="J8" s="26" t="s">
        <v>24</v>
      </c>
      <c r="K8" s="29">
        <v>16160</v>
      </c>
      <c r="L8" s="27"/>
      <c r="M8" s="27"/>
      <c r="N8" s="27"/>
      <c r="O8" s="27"/>
      <c r="P8" s="28">
        <f t="shared" si="0"/>
        <v>16160</v>
      </c>
      <c r="Q8" s="10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idden="1" customHeight="1" spans="1:28">
      <c r="A9" s="10" t="s">
        <v>18</v>
      </c>
      <c r="B9" s="10" t="s">
        <v>42</v>
      </c>
      <c r="C9" s="10" t="s">
        <v>26</v>
      </c>
      <c r="D9" s="10" t="s">
        <v>43</v>
      </c>
      <c r="E9" s="10" t="s">
        <v>44</v>
      </c>
      <c r="F9" s="10" t="s">
        <v>45</v>
      </c>
      <c r="G9" s="13">
        <v>45670</v>
      </c>
      <c r="H9" s="13"/>
      <c r="I9" s="13"/>
      <c r="J9" s="26" t="s">
        <v>24</v>
      </c>
      <c r="K9" s="27">
        <v>13200</v>
      </c>
      <c r="L9" s="27">
        <v>12800</v>
      </c>
      <c r="M9" s="27">
        <v>12650</v>
      </c>
      <c r="N9" s="27"/>
      <c r="O9" s="27"/>
      <c r="P9" s="28">
        <f t="shared" si="0"/>
        <v>12650</v>
      </c>
      <c r="Q9" s="10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idden="1" customHeight="1" spans="1:28">
      <c r="A10" s="10" t="s">
        <v>18</v>
      </c>
      <c r="B10" s="12" t="s">
        <v>46</v>
      </c>
      <c r="C10" s="12" t="s">
        <v>26</v>
      </c>
      <c r="D10" s="12" t="s">
        <v>47</v>
      </c>
      <c r="E10" s="12" t="s">
        <v>48</v>
      </c>
      <c r="F10" s="12" t="s">
        <v>49</v>
      </c>
      <c r="G10" s="13">
        <v>45665</v>
      </c>
      <c r="H10" s="13">
        <v>45665</v>
      </c>
      <c r="I10" s="13">
        <v>45665</v>
      </c>
      <c r="J10" s="26" t="s">
        <v>50</v>
      </c>
      <c r="K10" s="27">
        <v>441324.85</v>
      </c>
      <c r="L10" s="27"/>
      <c r="M10" s="27"/>
      <c r="N10" s="27"/>
      <c r="O10" s="27"/>
      <c r="P10" s="28">
        <f t="shared" si="0"/>
        <v>10591.7964</v>
      </c>
      <c r="Q10" s="10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idden="1" customHeight="1" spans="1:28">
      <c r="A11" s="10" t="s">
        <v>18</v>
      </c>
      <c r="B11" s="12" t="s">
        <v>51</v>
      </c>
      <c r="C11" s="12" t="s">
        <v>52</v>
      </c>
      <c r="D11" s="12" t="s">
        <v>47</v>
      </c>
      <c r="E11" s="12" t="s">
        <v>48</v>
      </c>
      <c r="F11" s="12" t="s">
        <v>53</v>
      </c>
      <c r="G11" s="13">
        <v>45666</v>
      </c>
      <c r="H11" s="13">
        <v>45666</v>
      </c>
      <c r="I11" s="13">
        <v>45666</v>
      </c>
      <c r="J11" s="26" t="s">
        <v>50</v>
      </c>
      <c r="K11" s="27">
        <v>161085.9</v>
      </c>
      <c r="L11" s="27"/>
      <c r="M11" s="27"/>
      <c r="N11" s="27"/>
      <c r="O11" s="27"/>
      <c r="P11" s="28">
        <f t="shared" si="0"/>
        <v>3866.0616</v>
      </c>
      <c r="Q11" s="10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idden="1" customHeight="1" spans="1:28">
      <c r="A12" s="10" t="s">
        <v>18</v>
      </c>
      <c r="B12" s="12" t="s">
        <v>54</v>
      </c>
      <c r="C12" s="12" t="s">
        <v>52</v>
      </c>
      <c r="D12" s="12" t="s">
        <v>47</v>
      </c>
      <c r="E12" s="12" t="s">
        <v>48</v>
      </c>
      <c r="F12" s="12" t="s">
        <v>55</v>
      </c>
      <c r="G12" s="13">
        <v>45666</v>
      </c>
      <c r="H12" s="13">
        <v>45666</v>
      </c>
      <c r="I12" s="13">
        <v>45666</v>
      </c>
      <c r="J12" s="26" t="s">
        <v>50</v>
      </c>
      <c r="K12" s="27">
        <v>161085.9</v>
      </c>
      <c r="L12" s="27"/>
      <c r="M12" s="27"/>
      <c r="N12" s="27"/>
      <c r="O12" s="27"/>
      <c r="P12" s="28">
        <f t="shared" si="0"/>
        <v>3866.0616</v>
      </c>
      <c r="Q12" s="10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idden="1" customHeight="1" spans="1:28">
      <c r="A13" s="10" t="s">
        <v>18</v>
      </c>
      <c r="B13" s="12" t="s">
        <v>56</v>
      </c>
      <c r="C13" s="12" t="s">
        <v>52</v>
      </c>
      <c r="D13" s="12" t="s">
        <v>47</v>
      </c>
      <c r="E13" s="12" t="s">
        <v>48</v>
      </c>
      <c r="F13" s="12" t="s">
        <v>57</v>
      </c>
      <c r="G13" s="13">
        <v>45666</v>
      </c>
      <c r="H13" s="13">
        <v>45666</v>
      </c>
      <c r="I13" s="13">
        <v>45666</v>
      </c>
      <c r="J13" s="26" t="s">
        <v>50</v>
      </c>
      <c r="K13" s="27">
        <v>289965.55</v>
      </c>
      <c r="L13" s="27"/>
      <c r="M13" s="27"/>
      <c r="N13" s="27"/>
      <c r="O13" s="27"/>
      <c r="P13" s="28">
        <f t="shared" si="0"/>
        <v>6959.1732</v>
      </c>
      <c r="Q13" s="10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idden="1" customHeight="1" spans="1:28">
      <c r="A14" s="10" t="s">
        <v>18</v>
      </c>
      <c r="B14" s="12" t="s">
        <v>58</v>
      </c>
      <c r="C14" s="12" t="s">
        <v>52</v>
      </c>
      <c r="D14" s="12" t="s">
        <v>47</v>
      </c>
      <c r="E14" s="12" t="s">
        <v>48</v>
      </c>
      <c r="F14" s="12" t="s">
        <v>59</v>
      </c>
      <c r="G14" s="13">
        <v>45666</v>
      </c>
      <c r="H14" s="13">
        <v>45666</v>
      </c>
      <c r="I14" s="13">
        <v>45666</v>
      </c>
      <c r="J14" s="26" t="s">
        <v>50</v>
      </c>
      <c r="K14" s="27">
        <v>289965.55</v>
      </c>
      <c r="L14" s="27"/>
      <c r="M14" s="27"/>
      <c r="N14" s="27"/>
      <c r="O14" s="27"/>
      <c r="P14" s="28">
        <f t="shared" si="0"/>
        <v>6959.1732</v>
      </c>
      <c r="Q14" s="10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idden="1" customHeight="1" spans="1:28">
      <c r="A15" s="10" t="s">
        <v>18</v>
      </c>
      <c r="B15" s="10" t="s">
        <v>60</v>
      </c>
      <c r="C15" s="10" t="s">
        <v>26</v>
      </c>
      <c r="D15" s="10" t="s">
        <v>61</v>
      </c>
      <c r="E15" s="10" t="s">
        <v>62</v>
      </c>
      <c r="F15" s="10" t="s">
        <v>63</v>
      </c>
      <c r="G15" s="13">
        <v>45681</v>
      </c>
      <c r="H15" s="13">
        <v>45728</v>
      </c>
      <c r="I15" s="13">
        <v>45728</v>
      </c>
      <c r="J15" s="26" t="s">
        <v>24</v>
      </c>
      <c r="K15" s="27">
        <v>309000</v>
      </c>
      <c r="L15" s="27">
        <v>279000</v>
      </c>
      <c r="M15" s="27">
        <v>276400</v>
      </c>
      <c r="N15" s="27">
        <v>294300</v>
      </c>
      <c r="O15" s="27">
        <v>285000</v>
      </c>
      <c r="P15" s="28">
        <f t="shared" si="0"/>
        <v>285000</v>
      </c>
      <c r="Q15" s="10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idden="1" customHeight="1" spans="1:28">
      <c r="A16" s="10" t="s">
        <v>18</v>
      </c>
      <c r="B16" s="12" t="s">
        <v>64</v>
      </c>
      <c r="C16" s="12" t="s">
        <v>26</v>
      </c>
      <c r="D16" s="12" t="s">
        <v>39</v>
      </c>
      <c r="E16" s="12" t="s">
        <v>40</v>
      </c>
      <c r="F16" s="12" t="s">
        <v>65</v>
      </c>
      <c r="G16" s="13">
        <v>45667</v>
      </c>
      <c r="H16" s="13">
        <v>45670</v>
      </c>
      <c r="I16" s="13">
        <v>45670</v>
      </c>
      <c r="J16" s="26" t="s">
        <v>50</v>
      </c>
      <c r="K16" s="27">
        <v>850</v>
      </c>
      <c r="L16" s="27"/>
      <c r="M16" s="27"/>
      <c r="N16" s="27"/>
      <c r="O16" s="27"/>
      <c r="P16" s="28">
        <f t="shared" si="0"/>
        <v>20.4</v>
      </c>
      <c r="Q16" s="10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idden="1" customHeight="1" spans="1:28">
      <c r="A17" s="10" t="s">
        <v>18</v>
      </c>
      <c r="B17" s="10" t="s">
        <v>66</v>
      </c>
      <c r="C17" s="10" t="s">
        <v>67</v>
      </c>
      <c r="D17" s="10" t="s">
        <v>68</v>
      </c>
      <c r="E17" s="10" t="s">
        <v>69</v>
      </c>
      <c r="F17" s="10" t="s">
        <v>70</v>
      </c>
      <c r="G17" s="13">
        <v>45670</v>
      </c>
      <c r="H17" s="13">
        <v>45670</v>
      </c>
      <c r="I17" s="13">
        <v>45670</v>
      </c>
      <c r="J17" s="30" t="s">
        <v>71</v>
      </c>
      <c r="K17" s="27">
        <v>289</v>
      </c>
      <c r="L17" s="27">
        <v>289</v>
      </c>
      <c r="M17" s="27"/>
      <c r="N17" s="27"/>
      <c r="O17" s="27"/>
      <c r="P17" s="28">
        <f t="shared" si="0"/>
        <v>268.77</v>
      </c>
      <c r="Q17" s="10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idden="1" customHeight="1" spans="1:28">
      <c r="A18" s="10" t="s">
        <v>18</v>
      </c>
      <c r="B18" s="12" t="s">
        <v>72</v>
      </c>
      <c r="C18" s="12" t="s">
        <v>26</v>
      </c>
      <c r="D18" s="12" t="s">
        <v>73</v>
      </c>
      <c r="E18" s="12" t="s">
        <v>74</v>
      </c>
      <c r="F18" s="12" t="s">
        <v>75</v>
      </c>
      <c r="G18" s="13">
        <v>45673</v>
      </c>
      <c r="H18" s="14"/>
      <c r="I18" s="14"/>
      <c r="J18" s="26" t="s">
        <v>24</v>
      </c>
      <c r="K18" s="29">
        <v>500</v>
      </c>
      <c r="L18" s="27"/>
      <c r="M18" s="27"/>
      <c r="N18" s="27"/>
      <c r="O18" s="27"/>
      <c r="P18" s="28">
        <f t="shared" si="0"/>
        <v>500</v>
      </c>
      <c r="Q18" s="10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idden="1" customHeight="1" spans="1:28">
      <c r="A19" s="10" t="s">
        <v>18</v>
      </c>
      <c r="B19" s="10" t="s">
        <v>76</v>
      </c>
      <c r="C19" s="10" t="s">
        <v>26</v>
      </c>
      <c r="D19" s="10" t="s">
        <v>27</v>
      </c>
      <c r="E19" s="10" t="s">
        <v>77</v>
      </c>
      <c r="F19" s="10" t="s">
        <v>78</v>
      </c>
      <c r="G19" s="13">
        <v>45684</v>
      </c>
      <c r="H19" s="15">
        <v>45686</v>
      </c>
      <c r="I19" s="15">
        <v>45686</v>
      </c>
      <c r="J19" s="26" t="s">
        <v>24</v>
      </c>
      <c r="K19" s="29">
        <v>24500</v>
      </c>
      <c r="L19" s="27"/>
      <c r="M19" s="27"/>
      <c r="N19" s="27"/>
      <c r="O19" s="27"/>
      <c r="P19" s="28">
        <f t="shared" si="0"/>
        <v>24500</v>
      </c>
      <c r="Q19" s="10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idden="1" customHeight="1" spans="1:28">
      <c r="A20" s="10" t="s">
        <v>18</v>
      </c>
      <c r="B20" s="12" t="s">
        <v>79</v>
      </c>
      <c r="C20" s="12" t="s">
        <v>67</v>
      </c>
      <c r="D20" s="12" t="s">
        <v>68</v>
      </c>
      <c r="E20" s="12" t="s">
        <v>80</v>
      </c>
      <c r="F20" s="12" t="s">
        <v>81</v>
      </c>
      <c r="G20" s="13">
        <v>45717</v>
      </c>
      <c r="H20" s="13">
        <v>45717</v>
      </c>
      <c r="I20" s="13">
        <v>45717</v>
      </c>
      <c r="J20" s="30" t="s">
        <v>24</v>
      </c>
      <c r="K20" s="27">
        <v>6142</v>
      </c>
      <c r="L20" s="27">
        <v>6150</v>
      </c>
      <c r="M20" s="27">
        <v>6712</v>
      </c>
      <c r="N20" s="27"/>
      <c r="O20" s="27"/>
      <c r="P20" s="28">
        <f t="shared" si="0"/>
        <v>6712</v>
      </c>
      <c r="Q20" s="10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idden="1" customHeight="1" spans="1:28">
      <c r="A21" s="10" t="s">
        <v>18</v>
      </c>
      <c r="B21" s="12" t="s">
        <v>82</v>
      </c>
      <c r="C21" s="12" t="s">
        <v>26</v>
      </c>
      <c r="D21" s="12" t="s">
        <v>83</v>
      </c>
      <c r="E21" s="12" t="s">
        <v>84</v>
      </c>
      <c r="F21" s="12" t="s">
        <v>85</v>
      </c>
      <c r="G21" s="13">
        <v>45678</v>
      </c>
      <c r="H21" s="13">
        <v>45678</v>
      </c>
      <c r="I21" s="13">
        <v>45678</v>
      </c>
      <c r="J21" s="26" t="s">
        <v>50</v>
      </c>
      <c r="K21" s="27">
        <v>285000</v>
      </c>
      <c r="L21" s="27"/>
      <c r="M21" s="27"/>
      <c r="N21" s="27"/>
      <c r="O21" s="27"/>
      <c r="P21" s="28">
        <f t="shared" si="0"/>
        <v>6840</v>
      </c>
      <c r="Q21" s="10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idden="1" customHeight="1" spans="1:28">
      <c r="A22" s="10" t="s">
        <v>18</v>
      </c>
      <c r="B22" s="12" t="s">
        <v>86</v>
      </c>
      <c r="C22" s="12" t="s">
        <v>26</v>
      </c>
      <c r="D22" s="12" t="s">
        <v>39</v>
      </c>
      <c r="E22" s="12" t="s">
        <v>40</v>
      </c>
      <c r="F22" s="12" t="s">
        <v>87</v>
      </c>
      <c r="G22" s="13">
        <v>45679</v>
      </c>
      <c r="H22" s="13">
        <v>45705</v>
      </c>
      <c r="I22" s="13">
        <v>45705</v>
      </c>
      <c r="J22" s="26" t="s">
        <v>50</v>
      </c>
      <c r="K22" s="27">
        <v>214200</v>
      </c>
      <c r="L22" s="27"/>
      <c r="M22" s="27"/>
      <c r="N22" s="27"/>
      <c r="O22" s="27"/>
      <c r="P22" s="28">
        <f t="shared" si="0"/>
        <v>5140.8</v>
      </c>
      <c r="Q22" s="10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idden="1" customHeight="1" spans="1:28">
      <c r="A23" s="10" t="s">
        <v>18</v>
      </c>
      <c r="B23" s="12" t="s">
        <v>88</v>
      </c>
      <c r="C23" s="12" t="s">
        <v>89</v>
      </c>
      <c r="D23" s="12" t="s">
        <v>39</v>
      </c>
      <c r="E23" s="12" t="s">
        <v>40</v>
      </c>
      <c r="F23" s="12" t="s">
        <v>90</v>
      </c>
      <c r="G23" s="13">
        <v>45681</v>
      </c>
      <c r="H23" s="13">
        <v>45681</v>
      </c>
      <c r="I23" s="13">
        <v>45681</v>
      </c>
      <c r="J23" s="30" t="s">
        <v>50</v>
      </c>
      <c r="K23" s="27">
        <v>534000</v>
      </c>
      <c r="L23" s="27"/>
      <c r="M23" s="27"/>
      <c r="N23" s="27"/>
      <c r="O23" s="27"/>
      <c r="P23" s="28">
        <f t="shared" si="0"/>
        <v>12816</v>
      </c>
      <c r="Q23" s="10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idden="1" customHeight="1" spans="1:28">
      <c r="A24" s="10" t="s">
        <v>18</v>
      </c>
      <c r="B24" s="12" t="s">
        <v>91</v>
      </c>
      <c r="C24" s="12" t="s">
        <v>26</v>
      </c>
      <c r="D24" s="12" t="s">
        <v>92</v>
      </c>
      <c r="E24" s="16" t="s">
        <v>93</v>
      </c>
      <c r="F24" s="12" t="s">
        <v>94</v>
      </c>
      <c r="G24" s="13">
        <v>45691</v>
      </c>
      <c r="H24" s="13"/>
      <c r="I24" s="13"/>
      <c r="J24" s="26" t="s">
        <v>50</v>
      </c>
      <c r="K24" s="30">
        <v>850</v>
      </c>
      <c r="L24" s="27"/>
      <c r="M24" s="27"/>
      <c r="N24" s="27"/>
      <c r="O24" s="27"/>
      <c r="P24" s="28">
        <f t="shared" si="0"/>
        <v>20.4</v>
      </c>
      <c r="Q24" s="10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idden="1" customHeight="1" spans="1:28">
      <c r="A25" s="10" t="s">
        <v>18</v>
      </c>
      <c r="B25" s="12" t="s">
        <v>95</v>
      </c>
      <c r="C25" s="12" t="s">
        <v>67</v>
      </c>
      <c r="D25" s="12" t="s">
        <v>96</v>
      </c>
      <c r="E25" s="16" t="s">
        <v>97</v>
      </c>
      <c r="F25" s="12" t="s">
        <v>94</v>
      </c>
      <c r="G25" s="13">
        <v>45691</v>
      </c>
      <c r="H25" s="13">
        <v>45691</v>
      </c>
      <c r="I25" s="13">
        <v>45691</v>
      </c>
      <c r="J25" s="30" t="s">
        <v>24</v>
      </c>
      <c r="K25" s="27">
        <v>46</v>
      </c>
      <c r="L25" s="27"/>
      <c r="M25" s="27"/>
      <c r="N25" s="27"/>
      <c r="O25" s="27"/>
      <c r="P25" s="28">
        <f t="shared" si="0"/>
        <v>46</v>
      </c>
      <c r="Q25" s="10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hidden="1" customHeight="1" spans="1:28">
      <c r="A26" s="10" t="s">
        <v>18</v>
      </c>
      <c r="B26" s="17" t="s">
        <v>98</v>
      </c>
      <c r="C26" s="12" t="s">
        <v>67</v>
      </c>
      <c r="D26" s="12" t="s">
        <v>99</v>
      </c>
      <c r="E26" s="16" t="s">
        <v>100</v>
      </c>
      <c r="F26" s="12" t="s">
        <v>94</v>
      </c>
      <c r="G26" s="13">
        <v>45708</v>
      </c>
      <c r="H26" s="13">
        <v>45712</v>
      </c>
      <c r="I26" s="13">
        <v>45712</v>
      </c>
      <c r="J26" s="26" t="s">
        <v>50</v>
      </c>
      <c r="K26" s="27">
        <v>11000</v>
      </c>
      <c r="L26" s="27"/>
      <c r="M26" s="27"/>
      <c r="N26" s="27"/>
      <c r="O26" s="27"/>
      <c r="P26" s="28">
        <f t="shared" si="0"/>
        <v>264</v>
      </c>
      <c r="Q26" s="10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hidden="1" customHeight="1" spans="1:28">
      <c r="A27" s="10" t="s">
        <v>18</v>
      </c>
      <c r="B27" s="10" t="s">
        <v>101</v>
      </c>
      <c r="C27" s="10" t="s">
        <v>67</v>
      </c>
      <c r="D27" s="10" t="s">
        <v>102</v>
      </c>
      <c r="E27" s="18" t="s">
        <v>103</v>
      </c>
      <c r="F27" s="10" t="s">
        <v>104</v>
      </c>
      <c r="G27" s="14">
        <v>45699</v>
      </c>
      <c r="H27" s="13">
        <v>45700</v>
      </c>
      <c r="I27" s="13">
        <v>45700</v>
      </c>
      <c r="J27" s="30" t="s">
        <v>24</v>
      </c>
      <c r="K27" s="27">
        <v>34000</v>
      </c>
      <c r="L27" s="27">
        <v>31000</v>
      </c>
      <c r="M27" s="27"/>
      <c r="N27" s="27"/>
      <c r="O27" s="27"/>
      <c r="P27" s="28">
        <f t="shared" si="0"/>
        <v>31000</v>
      </c>
      <c r="Q27" s="10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idden="1" customHeight="1" spans="1:28">
      <c r="A28" s="10" t="s">
        <v>18</v>
      </c>
      <c r="B28" s="10" t="s">
        <v>105</v>
      </c>
      <c r="C28" s="10" t="s">
        <v>67</v>
      </c>
      <c r="D28" s="10" t="s">
        <v>27</v>
      </c>
      <c r="E28" s="18" t="s">
        <v>106</v>
      </c>
      <c r="F28" s="19" t="s">
        <v>107</v>
      </c>
      <c r="G28" s="14">
        <v>45700</v>
      </c>
      <c r="H28" s="14">
        <v>45700</v>
      </c>
      <c r="I28" s="14">
        <v>45700</v>
      </c>
      <c r="J28" s="30" t="s">
        <v>24</v>
      </c>
      <c r="K28" s="27">
        <v>4950</v>
      </c>
      <c r="L28" s="27">
        <v>3950</v>
      </c>
      <c r="M28" s="27"/>
      <c r="N28" s="27"/>
      <c r="O28" s="27"/>
      <c r="P28" s="28">
        <f t="shared" si="0"/>
        <v>3950</v>
      </c>
      <c r="Q28" s="10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idden="1" customHeight="1" spans="1:28">
      <c r="A29" s="10" t="s">
        <v>18</v>
      </c>
      <c r="B29" s="10" t="s">
        <v>108</v>
      </c>
      <c r="C29" s="10" t="s">
        <v>67</v>
      </c>
      <c r="D29" s="10" t="s">
        <v>109</v>
      </c>
      <c r="E29" s="16" t="s">
        <v>110</v>
      </c>
      <c r="F29" s="12" t="s">
        <v>111</v>
      </c>
      <c r="G29" s="14">
        <v>45701</v>
      </c>
      <c r="H29" s="14">
        <v>45701</v>
      </c>
      <c r="I29" s="14">
        <v>45719</v>
      </c>
      <c r="J29" s="30" t="s">
        <v>24</v>
      </c>
      <c r="K29" s="27">
        <v>3500</v>
      </c>
      <c r="L29" s="27">
        <v>3000</v>
      </c>
      <c r="M29" s="27"/>
      <c r="N29" s="27"/>
      <c r="O29" s="27"/>
      <c r="P29" s="28">
        <f t="shared" si="0"/>
        <v>3000</v>
      </c>
      <c r="Q29" s="10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hidden="1" customHeight="1" spans="1:28">
      <c r="A30" s="10" t="s">
        <v>18</v>
      </c>
      <c r="B30" s="20" t="s">
        <v>112</v>
      </c>
      <c r="C30" s="10" t="s">
        <v>113</v>
      </c>
      <c r="D30" s="10" t="s">
        <v>61</v>
      </c>
      <c r="E30" s="18" t="s">
        <v>114</v>
      </c>
      <c r="F30" s="10" t="s">
        <v>115</v>
      </c>
      <c r="G30" s="14">
        <v>45700</v>
      </c>
      <c r="H30" s="13">
        <v>45734</v>
      </c>
      <c r="I30" s="13">
        <v>45734</v>
      </c>
      <c r="J30" s="30" t="s">
        <v>24</v>
      </c>
      <c r="K30" s="27">
        <v>176775</v>
      </c>
      <c r="L30" s="27"/>
      <c r="M30" s="27"/>
      <c r="N30" s="27"/>
      <c r="O30" s="27"/>
      <c r="P30" s="28">
        <f t="shared" si="0"/>
        <v>176775</v>
      </c>
      <c r="Q30" s="10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hidden="1" customHeight="1" spans="1:28">
      <c r="A31" s="10" t="s">
        <v>18</v>
      </c>
      <c r="B31" s="10" t="s">
        <v>116</v>
      </c>
      <c r="C31" s="10" t="s">
        <v>20</v>
      </c>
      <c r="D31" s="12" t="s">
        <v>117</v>
      </c>
      <c r="E31" s="18" t="s">
        <v>118</v>
      </c>
      <c r="F31" s="10" t="s">
        <v>119</v>
      </c>
      <c r="G31" s="14">
        <v>45707</v>
      </c>
      <c r="H31" s="14">
        <v>45707</v>
      </c>
      <c r="I31" s="14">
        <v>45708</v>
      </c>
      <c r="J31" s="30" t="s">
        <v>24</v>
      </c>
      <c r="K31" s="27">
        <v>4500</v>
      </c>
      <c r="L31" s="27">
        <v>4400</v>
      </c>
      <c r="M31" s="27"/>
      <c r="N31" s="27"/>
      <c r="O31" s="27"/>
      <c r="P31" s="28">
        <f t="shared" si="0"/>
        <v>4400</v>
      </c>
      <c r="Q31" s="10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hidden="1" customHeight="1" spans="1:28">
      <c r="A32" s="10" t="s">
        <v>18</v>
      </c>
      <c r="B32" s="17" t="s">
        <v>120</v>
      </c>
      <c r="C32" s="10" t="s">
        <v>67</v>
      </c>
      <c r="D32" s="10" t="s">
        <v>121</v>
      </c>
      <c r="E32" s="18" t="s">
        <v>122</v>
      </c>
      <c r="F32" s="10" t="s">
        <v>123</v>
      </c>
      <c r="G32" s="14">
        <v>45698</v>
      </c>
      <c r="H32" s="14">
        <v>45707</v>
      </c>
      <c r="I32" s="31">
        <v>45712</v>
      </c>
      <c r="J32" s="30" t="s">
        <v>24</v>
      </c>
      <c r="K32" s="27">
        <v>42151</v>
      </c>
      <c r="L32" s="27">
        <v>36000</v>
      </c>
      <c r="M32" s="27"/>
      <c r="N32" s="27"/>
      <c r="O32" s="27"/>
      <c r="P32" s="28">
        <f t="shared" si="0"/>
        <v>36000</v>
      </c>
      <c r="Q32" s="10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hidden="1" customHeight="1" spans="1:28">
      <c r="A33" s="10" t="s">
        <v>18</v>
      </c>
      <c r="B33" s="10" t="s">
        <v>124</v>
      </c>
      <c r="C33" s="10" t="s">
        <v>125</v>
      </c>
      <c r="D33" s="10" t="s">
        <v>126</v>
      </c>
      <c r="E33" s="18" t="s">
        <v>127</v>
      </c>
      <c r="F33" s="10" t="s">
        <v>128</v>
      </c>
      <c r="G33" s="14">
        <v>45705</v>
      </c>
      <c r="H33" s="14">
        <v>45710</v>
      </c>
      <c r="I33" s="14">
        <v>45712</v>
      </c>
      <c r="J33" s="30" t="s">
        <v>24</v>
      </c>
      <c r="K33" s="27">
        <v>34000</v>
      </c>
      <c r="L33" s="27"/>
      <c r="M33" s="27"/>
      <c r="N33" s="27"/>
      <c r="O33" s="27"/>
      <c r="P33" s="28">
        <f t="shared" si="0"/>
        <v>34000</v>
      </c>
      <c r="Q33" s="10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hidden="1" customHeight="1" spans="1:28">
      <c r="A34" s="10" t="s">
        <v>18</v>
      </c>
      <c r="B34" s="17" t="s">
        <v>129</v>
      </c>
      <c r="C34" s="12" t="s">
        <v>67</v>
      </c>
      <c r="D34" s="12" t="s">
        <v>130</v>
      </c>
      <c r="E34" s="21" t="s">
        <v>131</v>
      </c>
      <c r="F34" s="12" t="s">
        <v>132</v>
      </c>
      <c r="G34" s="13">
        <v>45713</v>
      </c>
      <c r="H34" s="13">
        <v>45716</v>
      </c>
      <c r="I34" s="13">
        <v>45716</v>
      </c>
      <c r="J34" s="30" t="s">
        <v>24</v>
      </c>
      <c r="K34" s="27">
        <v>31248</v>
      </c>
      <c r="L34" s="27"/>
      <c r="M34" s="27"/>
      <c r="N34" s="27"/>
      <c r="O34" s="27"/>
      <c r="P34" s="28">
        <f t="shared" si="0"/>
        <v>31248</v>
      </c>
      <c r="Q34" s="10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hidden="1" customHeight="1" spans="1:28">
      <c r="A35" s="10" t="s">
        <v>18</v>
      </c>
      <c r="B35" s="12" t="s">
        <v>133</v>
      </c>
      <c r="C35" s="12" t="s">
        <v>67</v>
      </c>
      <c r="D35" s="12" t="s">
        <v>134</v>
      </c>
      <c r="E35" s="21" t="s">
        <v>135</v>
      </c>
      <c r="F35" s="12" t="s">
        <v>136</v>
      </c>
      <c r="G35" s="13">
        <v>45709</v>
      </c>
      <c r="H35" s="13">
        <v>45720</v>
      </c>
      <c r="I35" s="13">
        <v>45720</v>
      </c>
      <c r="J35" s="30" t="s">
        <v>24</v>
      </c>
      <c r="K35" s="27">
        <v>3400</v>
      </c>
      <c r="L35" s="27"/>
      <c r="M35" s="27"/>
      <c r="N35" s="27"/>
      <c r="O35" s="27"/>
      <c r="P35" s="28">
        <f t="shared" si="0"/>
        <v>3400</v>
      </c>
      <c r="Q35" s="34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hidden="1" customHeight="1" spans="1:28">
      <c r="A36" s="10" t="s">
        <v>18</v>
      </c>
      <c r="B36" s="12" t="s">
        <v>137</v>
      </c>
      <c r="C36" s="12" t="s">
        <v>67</v>
      </c>
      <c r="D36" s="12" t="s">
        <v>138</v>
      </c>
      <c r="E36" s="21" t="s">
        <v>139</v>
      </c>
      <c r="F36" s="12" t="s">
        <v>140</v>
      </c>
      <c r="G36" s="13">
        <v>45714</v>
      </c>
      <c r="H36" s="13">
        <v>45864</v>
      </c>
      <c r="I36" s="13">
        <v>45772</v>
      </c>
      <c r="J36" s="30" t="s">
        <v>24</v>
      </c>
      <c r="K36" s="27">
        <v>1250000</v>
      </c>
      <c r="L36" s="27">
        <v>838750</v>
      </c>
      <c r="M36" s="27">
        <v>653200</v>
      </c>
      <c r="N36" s="27">
        <v>570000</v>
      </c>
      <c r="O36" s="27"/>
      <c r="P36" s="28">
        <f t="shared" ref="P36:P67" si="1">IF(J36="€",IF(O36&lt;&gt;"",O36,IF(N36&lt;&gt;"",N36,IF(M36&lt;&gt;"",M36,IF(L36&lt;&gt;"",L36,IF(K36&lt;&gt;"",K36,""))))),IF(J36="$",IF(O36&lt;&gt;"",O36,IF(N36&lt;&gt;"",N36,IF(M36&lt;&gt;"",M36,IF(L36&lt;&gt;"",L36,IF(K36&lt;&gt;"",K36,"")))))*0.93,IF(J36="TRY",IF(O36&lt;&gt;"",O36,IF(N36&lt;&gt;"",N36,IF(M36&lt;&gt;"",M36,IF(L36&lt;&gt;"",L36,IF(K36&lt;&gt;"",K36,"")))))*0.024,"")))</f>
        <v>570000</v>
      </c>
      <c r="Q36" s="34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hidden="1" customHeight="1" spans="1:28">
      <c r="A37" s="10" t="s">
        <v>18</v>
      </c>
      <c r="B37" s="12" t="s">
        <v>141</v>
      </c>
      <c r="C37" s="12" t="s">
        <v>89</v>
      </c>
      <c r="D37" s="12" t="s">
        <v>92</v>
      </c>
      <c r="E37" s="21" t="s">
        <v>40</v>
      </c>
      <c r="F37" s="12" t="s">
        <v>142</v>
      </c>
      <c r="G37" s="13">
        <v>45719</v>
      </c>
      <c r="H37" s="13">
        <v>45719</v>
      </c>
      <c r="I37" s="13">
        <v>45719</v>
      </c>
      <c r="J37" s="26" t="s">
        <v>50</v>
      </c>
      <c r="K37" s="27">
        <v>91800</v>
      </c>
      <c r="L37" s="27"/>
      <c r="M37" s="27"/>
      <c r="N37" s="27"/>
      <c r="O37" s="27"/>
      <c r="P37" s="28">
        <f t="shared" si="1"/>
        <v>2203.2</v>
      </c>
      <c r="Q37" s="34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hidden="1" customHeight="1" spans="1:28">
      <c r="A38" s="10" t="s">
        <v>18</v>
      </c>
      <c r="B38" s="12" t="s">
        <v>143</v>
      </c>
      <c r="C38" s="12" t="s">
        <v>67</v>
      </c>
      <c r="D38" s="12" t="s">
        <v>68</v>
      </c>
      <c r="E38" s="21" t="s">
        <v>144</v>
      </c>
      <c r="F38" s="12" t="s">
        <v>145</v>
      </c>
      <c r="G38" s="13">
        <v>45715</v>
      </c>
      <c r="H38" s="13">
        <v>45720</v>
      </c>
      <c r="I38" s="13">
        <v>45720</v>
      </c>
      <c r="J38" s="30" t="s">
        <v>24</v>
      </c>
      <c r="K38" s="27">
        <v>4925</v>
      </c>
      <c r="L38" s="27">
        <v>6150</v>
      </c>
      <c r="M38" s="27"/>
      <c r="N38" s="27"/>
      <c r="O38" s="27"/>
      <c r="P38" s="28">
        <f t="shared" si="1"/>
        <v>6150</v>
      </c>
      <c r="Q38" s="34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hidden="1" customHeight="1" spans="1:28">
      <c r="A39" s="10" t="s">
        <v>18</v>
      </c>
      <c r="B39" s="12" t="s">
        <v>146</v>
      </c>
      <c r="C39" s="12" t="s">
        <v>113</v>
      </c>
      <c r="D39" s="12" t="s">
        <v>35</v>
      </c>
      <c r="E39" s="21" t="s">
        <v>147</v>
      </c>
      <c r="F39" s="12" t="s">
        <v>148</v>
      </c>
      <c r="G39" s="13">
        <v>45707</v>
      </c>
      <c r="H39" s="13">
        <v>45756</v>
      </c>
      <c r="I39" s="13">
        <v>45756</v>
      </c>
      <c r="J39" s="30" t="s">
        <v>24</v>
      </c>
      <c r="K39" s="27">
        <v>135000</v>
      </c>
      <c r="L39" s="27">
        <v>120000</v>
      </c>
      <c r="M39" s="27">
        <v>96000</v>
      </c>
      <c r="N39" s="27">
        <v>15000</v>
      </c>
      <c r="O39" s="27"/>
      <c r="P39" s="28">
        <f t="shared" si="1"/>
        <v>15000</v>
      </c>
      <c r="Q39" s="34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hidden="1" customHeight="1" spans="1:28">
      <c r="A40" s="10" t="s">
        <v>18</v>
      </c>
      <c r="B40" s="12" t="s">
        <v>149</v>
      </c>
      <c r="C40" s="12" t="s">
        <v>67</v>
      </c>
      <c r="D40" s="12" t="s">
        <v>150</v>
      </c>
      <c r="E40" s="21" t="s">
        <v>151</v>
      </c>
      <c r="F40" s="12" t="s">
        <v>152</v>
      </c>
      <c r="G40" s="13">
        <v>45751</v>
      </c>
      <c r="H40" s="13">
        <v>45762</v>
      </c>
      <c r="I40" s="13">
        <v>45771</v>
      </c>
      <c r="J40" s="30" t="s">
        <v>24</v>
      </c>
      <c r="K40" s="27">
        <v>496582.85</v>
      </c>
      <c r="L40" s="27">
        <v>567575</v>
      </c>
      <c r="M40" s="27">
        <v>465000</v>
      </c>
      <c r="N40" s="27"/>
      <c r="O40" s="27"/>
      <c r="P40" s="28">
        <f t="shared" si="1"/>
        <v>465000</v>
      </c>
      <c r="Q40" s="34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hidden="1" customHeight="1" spans="1:28">
      <c r="A41" s="10" t="s">
        <v>18</v>
      </c>
      <c r="B41" s="12" t="s">
        <v>153</v>
      </c>
      <c r="C41" s="12" t="s">
        <v>154</v>
      </c>
      <c r="D41" s="12" t="s">
        <v>27</v>
      </c>
      <c r="E41" s="21" t="s">
        <v>77</v>
      </c>
      <c r="F41" s="12" t="s">
        <v>155</v>
      </c>
      <c r="G41" s="13">
        <v>45650</v>
      </c>
      <c r="H41" s="13">
        <v>45674</v>
      </c>
      <c r="I41" s="13">
        <v>45652</v>
      </c>
      <c r="J41" s="30" t="s">
        <v>24</v>
      </c>
      <c r="K41" s="27">
        <v>28990</v>
      </c>
      <c r="L41" s="27"/>
      <c r="M41" s="27"/>
      <c r="N41" s="27"/>
      <c r="O41" s="27"/>
      <c r="P41" s="28">
        <f t="shared" si="1"/>
        <v>28990</v>
      </c>
      <c r="Q41" s="34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hidden="1" customHeight="1" spans="1:28">
      <c r="A42" s="10" t="s">
        <v>18</v>
      </c>
      <c r="B42" s="12" t="s">
        <v>156</v>
      </c>
      <c r="C42" s="12" t="s">
        <v>113</v>
      </c>
      <c r="D42" s="12" t="s">
        <v>157</v>
      </c>
      <c r="E42" s="12" t="s">
        <v>158</v>
      </c>
      <c r="F42" s="12" t="s">
        <v>159</v>
      </c>
      <c r="G42" s="13"/>
      <c r="H42" s="13">
        <v>45579</v>
      </c>
      <c r="I42" s="13">
        <v>45579</v>
      </c>
      <c r="J42" s="30" t="s">
        <v>24</v>
      </c>
      <c r="K42" s="27">
        <v>321000</v>
      </c>
      <c r="L42" s="27"/>
      <c r="M42" s="27"/>
      <c r="N42" s="27"/>
      <c r="O42" s="27"/>
      <c r="P42" s="28">
        <f t="shared" si="1"/>
        <v>321000</v>
      </c>
      <c r="Q42" s="34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hidden="1" customHeight="1" spans="1:28">
      <c r="A43" s="10" t="s">
        <v>18</v>
      </c>
      <c r="B43" s="12" t="s">
        <v>160</v>
      </c>
      <c r="C43" s="12" t="s">
        <v>113</v>
      </c>
      <c r="D43" s="12" t="s">
        <v>161</v>
      </c>
      <c r="E43" s="21" t="s">
        <v>162</v>
      </c>
      <c r="F43" s="12"/>
      <c r="G43" s="13">
        <v>45699</v>
      </c>
      <c r="H43" s="13">
        <v>45705</v>
      </c>
      <c r="I43" s="13">
        <v>45548</v>
      </c>
      <c r="J43" s="30" t="s">
        <v>24</v>
      </c>
      <c r="K43" s="27">
        <v>274000</v>
      </c>
      <c r="L43" s="27"/>
      <c r="M43" s="27"/>
      <c r="N43" s="27"/>
      <c r="O43" s="27"/>
      <c r="P43" s="28">
        <f t="shared" si="1"/>
        <v>274000</v>
      </c>
      <c r="Q43" s="34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hidden="1" customHeight="1" spans="1:28">
      <c r="A44" s="10" t="s">
        <v>18</v>
      </c>
      <c r="B44" s="12" t="s">
        <v>163</v>
      </c>
      <c r="C44" s="12" t="s">
        <v>113</v>
      </c>
      <c r="D44" s="12" t="s">
        <v>164</v>
      </c>
      <c r="E44" s="21" t="s">
        <v>165</v>
      </c>
      <c r="F44" s="12" t="s">
        <v>166</v>
      </c>
      <c r="G44" s="13"/>
      <c r="H44" s="13"/>
      <c r="I44" s="13"/>
      <c r="J44" s="30" t="s">
        <v>24</v>
      </c>
      <c r="K44" s="27">
        <v>8816</v>
      </c>
      <c r="L44" s="27"/>
      <c r="M44" s="27"/>
      <c r="N44" s="27"/>
      <c r="O44" s="27"/>
      <c r="P44" s="28">
        <f t="shared" si="1"/>
        <v>8816</v>
      </c>
      <c r="Q44" s="34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hidden="1" customHeight="1" spans="1:28">
      <c r="A45" s="10" t="s">
        <v>18</v>
      </c>
      <c r="B45" s="12" t="s">
        <v>167</v>
      </c>
      <c r="C45" s="12" t="s">
        <v>67</v>
      </c>
      <c r="D45" s="12" t="s">
        <v>168</v>
      </c>
      <c r="E45" s="12" t="s">
        <v>147</v>
      </c>
      <c r="F45" s="12" t="s">
        <v>169</v>
      </c>
      <c r="G45" s="13">
        <v>45722</v>
      </c>
      <c r="H45" s="13">
        <v>45734</v>
      </c>
      <c r="I45" s="13">
        <v>45734</v>
      </c>
      <c r="J45" s="30" t="s">
        <v>24</v>
      </c>
      <c r="K45" s="27">
        <v>120000</v>
      </c>
      <c r="L45" s="27">
        <v>15000</v>
      </c>
      <c r="M45" s="27"/>
      <c r="N45" s="27"/>
      <c r="O45" s="27"/>
      <c r="P45" s="28">
        <f t="shared" si="1"/>
        <v>15000</v>
      </c>
      <c r="Q45" s="34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hidden="1" customHeight="1" spans="1:28">
      <c r="A46" s="10" t="s">
        <v>18</v>
      </c>
      <c r="B46" s="12" t="s">
        <v>170</v>
      </c>
      <c r="C46" s="12" t="s">
        <v>20</v>
      </c>
      <c r="D46" s="12" t="s">
        <v>117</v>
      </c>
      <c r="E46" s="12" t="s">
        <v>171</v>
      </c>
      <c r="F46" s="12" t="s">
        <v>172</v>
      </c>
      <c r="G46" s="13">
        <v>45722</v>
      </c>
      <c r="H46" s="13">
        <v>45722</v>
      </c>
      <c r="I46" s="13">
        <v>45722</v>
      </c>
      <c r="J46" s="30" t="s">
        <v>24</v>
      </c>
      <c r="K46" s="27">
        <v>850</v>
      </c>
      <c r="L46" s="27"/>
      <c r="M46" s="27"/>
      <c r="N46" s="27"/>
      <c r="O46" s="27"/>
      <c r="P46" s="28">
        <f t="shared" si="1"/>
        <v>850</v>
      </c>
      <c r="Q46" s="34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hidden="1" customHeight="1" spans="1:28">
      <c r="A47" s="10" t="s">
        <v>18</v>
      </c>
      <c r="B47" s="12" t="s">
        <v>173</v>
      </c>
      <c r="C47" s="12" t="s">
        <v>20</v>
      </c>
      <c r="D47" s="12" t="s">
        <v>174</v>
      </c>
      <c r="E47" s="12" t="s">
        <v>175</v>
      </c>
      <c r="F47" s="12" t="s">
        <v>176</v>
      </c>
      <c r="G47" s="13">
        <v>45722</v>
      </c>
      <c r="H47" s="13">
        <v>45722</v>
      </c>
      <c r="I47" s="13">
        <v>45722</v>
      </c>
      <c r="J47" s="30" t="s">
        <v>24</v>
      </c>
      <c r="K47" s="27">
        <v>2240</v>
      </c>
      <c r="L47" s="27"/>
      <c r="M47" s="27"/>
      <c r="N47" s="27"/>
      <c r="O47" s="27"/>
      <c r="P47" s="28">
        <f t="shared" si="1"/>
        <v>2240</v>
      </c>
      <c r="Q47" s="34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hidden="1" customHeight="1" spans="1:28">
      <c r="A48" s="10" t="s">
        <v>18</v>
      </c>
      <c r="B48" s="12" t="s">
        <v>177</v>
      </c>
      <c r="C48" s="12" t="s">
        <v>20</v>
      </c>
      <c r="D48" s="12" t="s">
        <v>117</v>
      </c>
      <c r="E48" s="12" t="s">
        <v>118</v>
      </c>
      <c r="F48" s="22" t="s">
        <v>178</v>
      </c>
      <c r="G48" s="13">
        <v>45724</v>
      </c>
      <c r="H48" s="13">
        <v>45724</v>
      </c>
      <c r="I48" s="13">
        <v>45724</v>
      </c>
      <c r="J48" s="30" t="s">
        <v>24</v>
      </c>
      <c r="K48" s="27">
        <v>1350</v>
      </c>
      <c r="L48" s="27">
        <v>1200</v>
      </c>
      <c r="M48" s="27"/>
      <c r="N48" s="27"/>
      <c r="O48" s="27"/>
      <c r="P48" s="28">
        <f t="shared" si="1"/>
        <v>1200</v>
      </c>
      <c r="Q48" s="34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idden="1" customHeight="1" spans="1:28">
      <c r="A49" s="10" t="s">
        <v>18</v>
      </c>
      <c r="B49" s="12" t="s">
        <v>179</v>
      </c>
      <c r="C49" s="12" t="s">
        <v>89</v>
      </c>
      <c r="D49" s="12" t="s">
        <v>180</v>
      </c>
      <c r="E49" s="12" t="s">
        <v>158</v>
      </c>
      <c r="F49" s="12" t="s">
        <v>181</v>
      </c>
      <c r="G49" s="13">
        <v>45726</v>
      </c>
      <c r="H49" s="13">
        <v>45726</v>
      </c>
      <c r="I49" s="13">
        <v>45726</v>
      </c>
      <c r="J49" s="30" t="s">
        <v>24</v>
      </c>
      <c r="K49" s="27">
        <v>28080</v>
      </c>
      <c r="L49" s="27">
        <v>19872</v>
      </c>
      <c r="M49" s="27">
        <v>11800</v>
      </c>
      <c r="N49" s="27"/>
      <c r="O49" s="27"/>
      <c r="P49" s="28">
        <f t="shared" si="1"/>
        <v>11800</v>
      </c>
      <c r="Q49" s="34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14.25" hidden="1" customHeight="1" spans="1:28">
      <c r="A50" s="10" t="s">
        <v>18</v>
      </c>
      <c r="B50" s="10" t="s">
        <v>182</v>
      </c>
      <c r="C50" s="12" t="s">
        <v>89</v>
      </c>
      <c r="D50" s="12" t="s">
        <v>134</v>
      </c>
      <c r="E50" s="12" t="s">
        <v>183</v>
      </c>
      <c r="F50" s="12" t="s">
        <v>184</v>
      </c>
      <c r="G50" s="13">
        <v>45726</v>
      </c>
      <c r="H50" s="13">
        <v>45726</v>
      </c>
      <c r="I50" s="13">
        <v>45726</v>
      </c>
      <c r="J50" s="30" t="s">
        <v>24</v>
      </c>
      <c r="K50" s="27">
        <v>3000</v>
      </c>
      <c r="L50" s="27"/>
      <c r="M50" s="27"/>
      <c r="N50" s="27"/>
      <c r="O50" s="27"/>
      <c r="P50" s="28">
        <f t="shared" si="1"/>
        <v>3000</v>
      </c>
      <c r="Q50" s="34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ht="14.25" hidden="1" customHeight="1" spans="1:28">
      <c r="A51" s="10" t="s">
        <v>18</v>
      </c>
      <c r="B51" s="12" t="s">
        <v>185</v>
      </c>
      <c r="C51" s="12" t="s">
        <v>20</v>
      </c>
      <c r="D51" s="12" t="s">
        <v>27</v>
      </c>
      <c r="E51" s="12" t="s">
        <v>186</v>
      </c>
      <c r="F51" s="12" t="s">
        <v>187</v>
      </c>
      <c r="G51" s="13">
        <v>45736</v>
      </c>
      <c r="H51" s="13">
        <v>45737</v>
      </c>
      <c r="I51" s="13">
        <v>45737</v>
      </c>
      <c r="J51" s="30" t="s">
        <v>24</v>
      </c>
      <c r="K51" s="27">
        <v>4750</v>
      </c>
      <c r="L51" s="27"/>
      <c r="M51" s="27"/>
      <c r="N51" s="27"/>
      <c r="O51" s="27"/>
      <c r="P51" s="28">
        <f t="shared" si="1"/>
        <v>4750</v>
      </c>
      <c r="Q51" s="34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ht="14.25" hidden="1" customHeight="1" spans="1:28">
      <c r="A52" s="10" t="s">
        <v>18</v>
      </c>
      <c r="B52" s="12" t="s">
        <v>188</v>
      </c>
      <c r="C52" s="12" t="s">
        <v>67</v>
      </c>
      <c r="D52" s="12" t="s">
        <v>73</v>
      </c>
      <c r="E52" s="12" t="s">
        <v>189</v>
      </c>
      <c r="F52" s="12" t="s">
        <v>142</v>
      </c>
      <c r="G52" s="13">
        <v>45735</v>
      </c>
      <c r="H52" s="13">
        <v>45737</v>
      </c>
      <c r="I52" s="13">
        <v>45737</v>
      </c>
      <c r="J52" s="30" t="s">
        <v>24</v>
      </c>
      <c r="K52" s="27">
        <v>1675</v>
      </c>
      <c r="L52" s="27"/>
      <c r="M52" s="27"/>
      <c r="N52" s="27"/>
      <c r="O52" s="27"/>
      <c r="P52" s="28">
        <f t="shared" si="1"/>
        <v>1675</v>
      </c>
      <c r="Q52" s="34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ht="14.25" hidden="1" customHeight="1" spans="1:28">
      <c r="A53" s="10" t="s">
        <v>18</v>
      </c>
      <c r="B53" s="12" t="s">
        <v>190</v>
      </c>
      <c r="C53" s="12" t="s">
        <v>67</v>
      </c>
      <c r="D53" s="12" t="s">
        <v>191</v>
      </c>
      <c r="E53" s="12" t="s">
        <v>192</v>
      </c>
      <c r="F53" s="12" t="s">
        <v>193</v>
      </c>
      <c r="G53" s="13">
        <v>45741</v>
      </c>
      <c r="H53" s="13">
        <v>45741</v>
      </c>
      <c r="I53" s="13">
        <v>45741</v>
      </c>
      <c r="J53" s="30" t="s">
        <v>24</v>
      </c>
      <c r="K53" s="27">
        <v>4000</v>
      </c>
      <c r="L53" s="27"/>
      <c r="M53" s="27"/>
      <c r="N53" s="27"/>
      <c r="O53" s="27"/>
      <c r="P53" s="28">
        <f t="shared" si="1"/>
        <v>4000</v>
      </c>
      <c r="Q53" s="34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hidden="1" customHeight="1" spans="1:28">
      <c r="A54" s="10" t="s">
        <v>18</v>
      </c>
      <c r="B54" s="12" t="s">
        <v>194</v>
      </c>
      <c r="C54" s="12" t="s">
        <v>67</v>
      </c>
      <c r="D54" s="12" t="s">
        <v>102</v>
      </c>
      <c r="E54" s="12" t="s">
        <v>195</v>
      </c>
      <c r="F54" s="12" t="s">
        <v>196</v>
      </c>
      <c r="G54" s="13">
        <v>45741</v>
      </c>
      <c r="H54" s="13">
        <v>45750</v>
      </c>
      <c r="I54" s="13">
        <v>45756</v>
      </c>
      <c r="J54" s="30" t="s">
        <v>24</v>
      </c>
      <c r="K54" s="27">
        <v>95500</v>
      </c>
      <c r="L54" s="27">
        <v>86000</v>
      </c>
      <c r="M54" s="27"/>
      <c r="N54" s="27"/>
      <c r="O54" s="27"/>
      <c r="P54" s="28">
        <f t="shared" si="1"/>
        <v>86000</v>
      </c>
      <c r="Q54" s="34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ht="14.25" hidden="1" customHeight="1" spans="1:28">
      <c r="A55" s="10" t="s">
        <v>18</v>
      </c>
      <c r="B55" s="12" t="s">
        <v>197</v>
      </c>
      <c r="C55" s="12" t="s">
        <v>198</v>
      </c>
      <c r="D55" s="12" t="s">
        <v>47</v>
      </c>
      <c r="E55" s="12" t="s">
        <v>48</v>
      </c>
      <c r="F55" s="12" t="s">
        <v>199</v>
      </c>
      <c r="G55" s="13">
        <v>45742</v>
      </c>
      <c r="H55" s="13">
        <v>45742</v>
      </c>
      <c r="I55" s="13">
        <v>45742</v>
      </c>
      <c r="J55" s="30" t="s">
        <v>50</v>
      </c>
      <c r="K55" s="32">
        <v>154499.98</v>
      </c>
      <c r="L55" s="27"/>
      <c r="M55" s="27"/>
      <c r="N55" s="27"/>
      <c r="O55" s="27"/>
      <c r="P55" s="28">
        <f t="shared" si="1"/>
        <v>3707.99952</v>
      </c>
      <c r="Q55" s="34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ht="14.25" hidden="1" customHeight="1" spans="1:28">
      <c r="A56" s="10" t="s">
        <v>18</v>
      </c>
      <c r="B56" s="12" t="s">
        <v>200</v>
      </c>
      <c r="C56" s="12" t="s">
        <v>198</v>
      </c>
      <c r="D56" s="12" t="s">
        <v>47</v>
      </c>
      <c r="E56" s="12" t="s">
        <v>48</v>
      </c>
      <c r="F56" s="12" t="s">
        <v>201</v>
      </c>
      <c r="G56" s="13">
        <v>45742</v>
      </c>
      <c r="H56" s="13">
        <v>45742</v>
      </c>
      <c r="I56" s="13">
        <v>45742</v>
      </c>
      <c r="J56" s="30" t="s">
        <v>50</v>
      </c>
      <c r="K56" s="32">
        <v>154499.98</v>
      </c>
      <c r="L56" s="27"/>
      <c r="M56" s="27"/>
      <c r="N56" s="27"/>
      <c r="O56" s="27"/>
      <c r="P56" s="28">
        <f t="shared" si="1"/>
        <v>3707.99952</v>
      </c>
      <c r="Q56" s="34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ht="18.75" hidden="1" customHeight="1" spans="1:28">
      <c r="A57" s="10" t="s">
        <v>18</v>
      </c>
      <c r="B57" s="12" t="s">
        <v>202</v>
      </c>
      <c r="C57" s="12" t="s">
        <v>67</v>
      </c>
      <c r="D57" s="12" t="s">
        <v>126</v>
      </c>
      <c r="E57" s="12" t="s">
        <v>203</v>
      </c>
      <c r="F57" s="12" t="s">
        <v>204</v>
      </c>
      <c r="G57" s="13">
        <v>45742</v>
      </c>
      <c r="H57" s="13">
        <v>45758</v>
      </c>
      <c r="I57" s="13">
        <v>45783</v>
      </c>
      <c r="J57" s="30" t="s">
        <v>24</v>
      </c>
      <c r="K57" s="27">
        <v>424138</v>
      </c>
      <c r="L57" s="27">
        <v>143666</v>
      </c>
      <c r="M57" s="27">
        <v>143666</v>
      </c>
      <c r="N57" s="27">
        <v>140000</v>
      </c>
      <c r="O57" s="27"/>
      <c r="P57" s="28">
        <f t="shared" si="1"/>
        <v>140000</v>
      </c>
      <c r="Q57" s="34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ht="14.25" hidden="1" customHeight="1" spans="1:28">
      <c r="A58" s="10" t="s">
        <v>18</v>
      </c>
      <c r="B58" s="12" t="s">
        <v>205</v>
      </c>
      <c r="C58" s="12" t="s">
        <v>67</v>
      </c>
      <c r="D58" s="12" t="s">
        <v>206</v>
      </c>
      <c r="E58" s="12" t="s">
        <v>207</v>
      </c>
      <c r="F58" s="12" t="s">
        <v>208</v>
      </c>
      <c r="G58" s="13">
        <v>45737</v>
      </c>
      <c r="H58" s="13">
        <v>45743</v>
      </c>
      <c r="I58" s="13">
        <v>45743</v>
      </c>
      <c r="J58" s="30" t="s">
        <v>24</v>
      </c>
      <c r="K58" s="27">
        <v>108000</v>
      </c>
      <c r="L58" s="27">
        <v>57000</v>
      </c>
      <c r="M58" s="27">
        <v>48000</v>
      </c>
      <c r="N58" s="27"/>
      <c r="O58" s="27"/>
      <c r="P58" s="28">
        <f t="shared" si="1"/>
        <v>48000</v>
      </c>
      <c r="Q58" s="34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4.25" hidden="1" customHeight="1" spans="1:28">
      <c r="A59" s="10" t="s">
        <v>18</v>
      </c>
      <c r="B59" s="12" t="s">
        <v>209</v>
      </c>
      <c r="C59" s="12" t="s">
        <v>20</v>
      </c>
      <c r="D59" s="12" t="s">
        <v>117</v>
      </c>
      <c r="E59" s="12" t="s">
        <v>118</v>
      </c>
      <c r="F59" s="12" t="s">
        <v>210</v>
      </c>
      <c r="G59" s="13">
        <v>45744</v>
      </c>
      <c r="H59" s="13">
        <v>45744</v>
      </c>
      <c r="I59" s="13">
        <v>45744</v>
      </c>
      <c r="J59" s="30" t="s">
        <v>24</v>
      </c>
      <c r="K59" s="27">
        <v>2000</v>
      </c>
      <c r="L59" s="27"/>
      <c r="M59" s="27"/>
      <c r="N59" s="27"/>
      <c r="O59" s="27"/>
      <c r="P59" s="28">
        <f t="shared" si="1"/>
        <v>2000</v>
      </c>
      <c r="Q59" s="34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ht="14.25" hidden="1" customHeight="1" spans="1:28">
      <c r="A60" s="10" t="s">
        <v>18</v>
      </c>
      <c r="B60" s="12" t="s">
        <v>211</v>
      </c>
      <c r="C60" s="12" t="s">
        <v>212</v>
      </c>
      <c r="D60" s="12" t="s">
        <v>157</v>
      </c>
      <c r="E60" s="12" t="s">
        <v>213</v>
      </c>
      <c r="F60" s="12" t="s">
        <v>214</v>
      </c>
      <c r="G60" s="13">
        <v>45744</v>
      </c>
      <c r="H60" s="13">
        <v>45744</v>
      </c>
      <c r="I60" s="13">
        <v>45744</v>
      </c>
      <c r="J60" s="30" t="s">
        <v>24</v>
      </c>
      <c r="K60" s="27">
        <v>10949</v>
      </c>
      <c r="L60" s="27"/>
      <c r="M60" s="27"/>
      <c r="N60" s="27"/>
      <c r="O60" s="27"/>
      <c r="P60" s="28">
        <f t="shared" si="1"/>
        <v>10949</v>
      </c>
      <c r="Q60" s="34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4.25" hidden="1" customHeight="1" spans="1:28">
      <c r="A61" s="10" t="s">
        <v>18</v>
      </c>
      <c r="B61" s="12" t="s">
        <v>215</v>
      </c>
      <c r="C61" s="12" t="s">
        <v>20</v>
      </c>
      <c r="D61" s="12" t="s">
        <v>117</v>
      </c>
      <c r="E61" s="12" t="s">
        <v>118</v>
      </c>
      <c r="F61" s="12" t="s">
        <v>216</v>
      </c>
      <c r="G61" s="13">
        <v>45744</v>
      </c>
      <c r="H61" s="13">
        <v>45744</v>
      </c>
      <c r="I61" s="13">
        <v>45744</v>
      </c>
      <c r="J61" s="30" t="s">
        <v>24</v>
      </c>
      <c r="K61" s="27">
        <v>400</v>
      </c>
      <c r="L61" s="27">
        <v>200</v>
      </c>
      <c r="M61" s="27"/>
      <c r="N61" s="27"/>
      <c r="O61" s="27"/>
      <c r="P61" s="28">
        <f t="shared" si="1"/>
        <v>200</v>
      </c>
      <c r="Q61" s="34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4.25" hidden="1" customHeight="1" spans="1:28">
      <c r="A62" s="10" t="s">
        <v>18</v>
      </c>
      <c r="B62" s="12" t="s">
        <v>217</v>
      </c>
      <c r="C62" s="12" t="s">
        <v>67</v>
      </c>
      <c r="D62" s="12" t="s">
        <v>102</v>
      </c>
      <c r="E62" s="12" t="s">
        <v>218</v>
      </c>
      <c r="F62" s="12" t="s">
        <v>219</v>
      </c>
      <c r="G62" s="13">
        <v>45743</v>
      </c>
      <c r="H62" s="13">
        <v>45749</v>
      </c>
      <c r="I62" s="13">
        <v>45744</v>
      </c>
      <c r="J62" s="30" t="s">
        <v>24</v>
      </c>
      <c r="K62" s="27">
        <v>9500</v>
      </c>
      <c r="L62" s="27"/>
      <c r="M62" s="27"/>
      <c r="N62" s="27"/>
      <c r="O62" s="27"/>
      <c r="P62" s="28">
        <f t="shared" si="1"/>
        <v>9500</v>
      </c>
      <c r="Q62" s="34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ht="14.25" hidden="1" customHeight="1" spans="1:28">
      <c r="A63" s="10" t="s">
        <v>18</v>
      </c>
      <c r="B63" s="12" t="s">
        <v>220</v>
      </c>
      <c r="C63" s="12" t="s">
        <v>221</v>
      </c>
      <c r="D63" s="12" t="s">
        <v>47</v>
      </c>
      <c r="E63" s="12" t="s">
        <v>48</v>
      </c>
      <c r="F63" s="12" t="s">
        <v>222</v>
      </c>
      <c r="G63" s="13">
        <v>45749</v>
      </c>
      <c r="H63" s="13">
        <v>45749</v>
      </c>
      <c r="I63" s="13">
        <v>45749</v>
      </c>
      <c r="J63" s="30" t="s">
        <v>50</v>
      </c>
      <c r="K63" s="27">
        <v>540340.4</v>
      </c>
      <c r="L63" s="27"/>
      <c r="M63" s="27"/>
      <c r="N63" s="27"/>
      <c r="O63" s="27"/>
      <c r="P63" s="28">
        <f t="shared" si="1"/>
        <v>12968.1696</v>
      </c>
      <c r="Q63" s="34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ht="14.25" hidden="1" customHeight="1" spans="1:28">
      <c r="A64" s="10" t="s">
        <v>18</v>
      </c>
      <c r="B64" s="12" t="s">
        <v>223</v>
      </c>
      <c r="C64" s="12" t="s">
        <v>89</v>
      </c>
      <c r="D64" s="12" t="s">
        <v>68</v>
      </c>
      <c r="E64" s="12" t="s">
        <v>80</v>
      </c>
      <c r="F64" s="12" t="s">
        <v>224</v>
      </c>
      <c r="G64" s="13">
        <v>45744</v>
      </c>
      <c r="H64" s="13">
        <v>45744</v>
      </c>
      <c r="I64" s="13">
        <v>45744</v>
      </c>
      <c r="J64" s="30" t="s">
        <v>71</v>
      </c>
      <c r="K64" s="27">
        <v>630</v>
      </c>
      <c r="L64" s="27"/>
      <c r="M64" s="27"/>
      <c r="N64" s="27"/>
      <c r="O64" s="27"/>
      <c r="P64" s="28">
        <f t="shared" si="1"/>
        <v>585.9</v>
      </c>
      <c r="Q64" s="34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4.25" hidden="1" customHeight="1" spans="1:28">
      <c r="A65" s="10" t="s">
        <v>18</v>
      </c>
      <c r="B65" s="12" t="s">
        <v>225</v>
      </c>
      <c r="C65" s="12" t="s">
        <v>89</v>
      </c>
      <c r="D65" s="12" t="s">
        <v>99</v>
      </c>
      <c r="E65" s="12" t="s">
        <v>226</v>
      </c>
      <c r="F65" s="12" t="s">
        <v>94</v>
      </c>
      <c r="G65" s="13">
        <v>45733</v>
      </c>
      <c r="H65" s="13">
        <v>45750</v>
      </c>
      <c r="I65" s="13">
        <v>45750</v>
      </c>
      <c r="J65" s="30" t="s">
        <v>50</v>
      </c>
      <c r="K65" s="27">
        <v>200000</v>
      </c>
      <c r="L65" s="27"/>
      <c r="M65" s="27"/>
      <c r="N65" s="27"/>
      <c r="O65" s="27"/>
      <c r="P65" s="28">
        <f t="shared" si="1"/>
        <v>4800</v>
      </c>
      <c r="Q65" s="34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4.25" hidden="1" customHeight="1" spans="1:28">
      <c r="A66" s="10" t="s">
        <v>18</v>
      </c>
      <c r="B66" s="12" t="s">
        <v>227</v>
      </c>
      <c r="C66" s="12" t="s">
        <v>67</v>
      </c>
      <c r="D66" s="12" t="s">
        <v>228</v>
      </c>
      <c r="E66" s="12" t="s">
        <v>229</v>
      </c>
      <c r="F66" s="12" t="s">
        <v>230</v>
      </c>
      <c r="G66" s="13">
        <v>45751</v>
      </c>
      <c r="H66" s="13">
        <v>45751</v>
      </c>
      <c r="I66" s="13">
        <v>45751</v>
      </c>
      <c r="J66" s="30" t="s">
        <v>24</v>
      </c>
      <c r="K66" s="27">
        <v>12500</v>
      </c>
      <c r="L66" s="27">
        <v>12000</v>
      </c>
      <c r="M66" s="27"/>
      <c r="N66" s="27"/>
      <c r="O66" s="27"/>
      <c r="P66" s="28">
        <f t="shared" si="1"/>
        <v>12000</v>
      </c>
      <c r="Q66" s="34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ht="14.25" hidden="1" customHeight="1" spans="1:28">
      <c r="A67" s="10" t="s">
        <v>18</v>
      </c>
      <c r="B67" s="12" t="s">
        <v>231</v>
      </c>
      <c r="C67" s="35" t="s">
        <v>89</v>
      </c>
      <c r="D67" s="12" t="s">
        <v>157</v>
      </c>
      <c r="E67" s="12" t="s">
        <v>232</v>
      </c>
      <c r="F67" s="12" t="s">
        <v>233</v>
      </c>
      <c r="G67" s="13">
        <v>45751</v>
      </c>
      <c r="H67" s="13">
        <v>45755</v>
      </c>
      <c r="I67" s="13">
        <v>45755</v>
      </c>
      <c r="J67" s="30" t="s">
        <v>24</v>
      </c>
      <c r="K67" s="27">
        <v>7782</v>
      </c>
      <c r="L67" s="27">
        <v>40000</v>
      </c>
      <c r="M67" s="27"/>
      <c r="N67" s="27"/>
      <c r="O67" s="27"/>
      <c r="P67" s="28">
        <f t="shared" si="1"/>
        <v>40000</v>
      </c>
      <c r="Q67" s="34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ht="14.25" hidden="1" customHeight="1" spans="1:28">
      <c r="A68" s="10" t="s">
        <v>18</v>
      </c>
      <c r="B68" s="12" t="s">
        <v>234</v>
      </c>
      <c r="C68" s="35" t="s">
        <v>89</v>
      </c>
      <c r="D68" s="12" t="s">
        <v>157</v>
      </c>
      <c r="E68" s="12" t="s">
        <v>158</v>
      </c>
      <c r="F68" s="12" t="s">
        <v>235</v>
      </c>
      <c r="G68" s="13">
        <v>45757</v>
      </c>
      <c r="H68" s="13">
        <v>45757</v>
      </c>
      <c r="I68" s="13">
        <v>45757</v>
      </c>
      <c r="J68" s="30" t="s">
        <v>24</v>
      </c>
      <c r="K68" s="27">
        <v>19</v>
      </c>
      <c r="L68" s="27"/>
      <c r="M68" s="27"/>
      <c r="N68" s="27"/>
      <c r="O68" s="27"/>
      <c r="P68" s="28">
        <f t="shared" ref="P68:P99" si="2">IF(J68="€",IF(O68&lt;&gt;"",O68,IF(N68&lt;&gt;"",N68,IF(M68&lt;&gt;"",M68,IF(L68&lt;&gt;"",L68,IF(K68&lt;&gt;"",K68,""))))),IF(J68="$",IF(O68&lt;&gt;"",O68,IF(N68&lt;&gt;"",N68,IF(M68&lt;&gt;"",M68,IF(L68&lt;&gt;"",L68,IF(K68&lt;&gt;"",K68,"")))))*0.93,IF(J68="TRY",IF(O68&lt;&gt;"",O68,IF(N68&lt;&gt;"",N68,IF(M68&lt;&gt;"",M68,IF(L68&lt;&gt;"",L68,IF(K68&lt;&gt;"",K68,"")))))*0.024,"")))</f>
        <v>19</v>
      </c>
      <c r="Q68" s="34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ht="14.25" hidden="1" customHeight="1" spans="1:28">
      <c r="A69" s="10" t="s">
        <v>18</v>
      </c>
      <c r="B69" s="12" t="s">
        <v>236</v>
      </c>
      <c r="C69" s="12" t="s">
        <v>67</v>
      </c>
      <c r="D69" s="12" t="s">
        <v>102</v>
      </c>
      <c r="E69" s="12" t="s">
        <v>237</v>
      </c>
      <c r="F69" s="12" t="s">
        <v>238</v>
      </c>
      <c r="G69" s="13">
        <v>45762</v>
      </c>
      <c r="H69" s="13">
        <v>45762</v>
      </c>
      <c r="I69" s="13">
        <v>45762</v>
      </c>
      <c r="J69" s="30" t="s">
        <v>24</v>
      </c>
      <c r="K69" s="27">
        <v>280</v>
      </c>
      <c r="L69" s="27"/>
      <c r="M69" s="27"/>
      <c r="N69" s="27"/>
      <c r="O69" s="27"/>
      <c r="P69" s="28">
        <f t="shared" si="2"/>
        <v>280</v>
      </c>
      <c r="Q69" s="34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ht="14.25" hidden="1" customHeight="1" spans="1:28">
      <c r="A70" s="10" t="s">
        <v>18</v>
      </c>
      <c r="B70" s="12" t="s">
        <v>239</v>
      </c>
      <c r="C70" s="12" t="s">
        <v>67</v>
      </c>
      <c r="D70" s="12" t="s">
        <v>61</v>
      </c>
      <c r="E70" s="12" t="s">
        <v>240</v>
      </c>
      <c r="F70" s="12" t="s">
        <v>241</v>
      </c>
      <c r="G70" s="13">
        <v>45764</v>
      </c>
      <c r="H70" s="13">
        <v>45764</v>
      </c>
      <c r="I70" s="13">
        <v>45764</v>
      </c>
      <c r="J70" s="30" t="s">
        <v>24</v>
      </c>
      <c r="K70" s="27">
        <v>2500</v>
      </c>
      <c r="L70" s="27"/>
      <c r="M70" s="27"/>
      <c r="N70" s="27"/>
      <c r="O70" s="27"/>
      <c r="P70" s="28">
        <f t="shared" si="2"/>
        <v>2500</v>
      </c>
      <c r="Q70" s="34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ht="14.25" hidden="1" customHeight="1" spans="1:28">
      <c r="A71" s="10" t="s">
        <v>18</v>
      </c>
      <c r="B71" s="12" t="s">
        <v>242</v>
      </c>
      <c r="C71" s="12" t="s">
        <v>243</v>
      </c>
      <c r="D71" s="12" t="s">
        <v>47</v>
      </c>
      <c r="E71" s="12" t="s">
        <v>48</v>
      </c>
      <c r="F71" s="12" t="s">
        <v>244</v>
      </c>
      <c r="G71" s="13">
        <v>45764</v>
      </c>
      <c r="H71" s="13">
        <v>45764</v>
      </c>
      <c r="I71" s="13">
        <v>45764</v>
      </c>
      <c r="J71" s="30" t="s">
        <v>50</v>
      </c>
      <c r="K71" s="27">
        <v>604973.73</v>
      </c>
      <c r="L71" s="27"/>
      <c r="M71" s="27"/>
      <c r="N71" s="27"/>
      <c r="O71" s="27"/>
      <c r="P71" s="28">
        <f t="shared" si="2"/>
        <v>14519.36952</v>
      </c>
      <c r="Q71" s="34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ht="14.25" hidden="1" customHeight="1" spans="1:28">
      <c r="A72" s="10" t="s">
        <v>18</v>
      </c>
      <c r="B72" s="12" t="s">
        <v>245</v>
      </c>
      <c r="C72" s="12" t="s">
        <v>243</v>
      </c>
      <c r="D72" s="12" t="s">
        <v>47</v>
      </c>
      <c r="E72" s="12" t="s">
        <v>48</v>
      </c>
      <c r="F72" s="12" t="s">
        <v>246</v>
      </c>
      <c r="G72" s="13">
        <v>45764</v>
      </c>
      <c r="H72" s="13">
        <v>45821</v>
      </c>
      <c r="I72" s="13">
        <v>45764</v>
      </c>
      <c r="J72" s="30" t="s">
        <v>50</v>
      </c>
      <c r="K72" s="27">
        <v>604973.73</v>
      </c>
      <c r="L72" s="27"/>
      <c r="M72" s="27"/>
      <c r="N72" s="27"/>
      <c r="O72" s="27"/>
      <c r="P72" s="28">
        <f t="shared" si="2"/>
        <v>14519.36952</v>
      </c>
      <c r="Q72" s="34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ht="14.25" hidden="1" customHeight="1" spans="1:28">
      <c r="A73" s="10" t="s">
        <v>18</v>
      </c>
      <c r="B73" s="12" t="s">
        <v>247</v>
      </c>
      <c r="C73" s="12" t="s">
        <v>243</v>
      </c>
      <c r="D73" s="12" t="s">
        <v>47</v>
      </c>
      <c r="E73" s="12" t="s">
        <v>48</v>
      </c>
      <c r="F73" s="12" t="s">
        <v>248</v>
      </c>
      <c r="G73" s="13">
        <v>45764</v>
      </c>
      <c r="H73" s="13">
        <v>45765</v>
      </c>
      <c r="I73" s="13">
        <v>45764</v>
      </c>
      <c r="J73" s="30" t="s">
        <v>50</v>
      </c>
      <c r="K73" s="27">
        <v>51502.51</v>
      </c>
      <c r="L73" s="27"/>
      <c r="M73" s="27"/>
      <c r="N73" s="27"/>
      <c r="O73" s="27"/>
      <c r="P73" s="28">
        <f t="shared" si="2"/>
        <v>1236.06024</v>
      </c>
      <c r="Q73" s="34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ht="14.25" hidden="1" customHeight="1" spans="1:28">
      <c r="A74" s="10" t="s">
        <v>18</v>
      </c>
      <c r="B74" s="12" t="s">
        <v>249</v>
      </c>
      <c r="C74" s="12" t="s">
        <v>67</v>
      </c>
      <c r="D74" s="12" t="s">
        <v>61</v>
      </c>
      <c r="E74" s="12" t="s">
        <v>250</v>
      </c>
      <c r="F74" s="12" t="s">
        <v>251</v>
      </c>
      <c r="G74" s="13">
        <v>45769</v>
      </c>
      <c r="H74" s="13">
        <v>45769</v>
      </c>
      <c r="I74" s="13">
        <v>45769</v>
      </c>
      <c r="J74" s="30" t="s">
        <v>24</v>
      </c>
      <c r="K74" s="27">
        <v>2200</v>
      </c>
      <c r="L74" s="27">
        <v>2160</v>
      </c>
      <c r="M74" s="27"/>
      <c r="N74" s="27"/>
      <c r="O74" s="27"/>
      <c r="P74" s="28">
        <f t="shared" si="2"/>
        <v>2160</v>
      </c>
      <c r="Q74" s="34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ht="14.25" hidden="1" customHeight="1" spans="1:28">
      <c r="A75" s="10" t="s">
        <v>18</v>
      </c>
      <c r="B75" s="12" t="s">
        <v>252</v>
      </c>
      <c r="C75" s="12" t="s">
        <v>67</v>
      </c>
      <c r="D75" s="12" t="s">
        <v>191</v>
      </c>
      <c r="E75" s="12" t="s">
        <v>147</v>
      </c>
      <c r="F75" s="12" t="s">
        <v>253</v>
      </c>
      <c r="G75" s="13">
        <v>45771</v>
      </c>
      <c r="H75" s="13">
        <v>45771</v>
      </c>
      <c r="I75" s="13">
        <v>45771</v>
      </c>
      <c r="J75" s="30" t="s">
        <v>24</v>
      </c>
      <c r="K75" s="27">
        <v>6750</v>
      </c>
      <c r="L75" s="27">
        <v>6350</v>
      </c>
      <c r="M75" s="27"/>
      <c r="N75" s="27"/>
      <c r="O75" s="27"/>
      <c r="P75" s="28">
        <f t="shared" si="2"/>
        <v>6350</v>
      </c>
      <c r="Q75" s="34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ht="14.25" hidden="1" customHeight="1" spans="1:28">
      <c r="A76" s="10" t="s">
        <v>18</v>
      </c>
      <c r="B76" s="12" t="s">
        <v>254</v>
      </c>
      <c r="C76" s="12" t="s">
        <v>67</v>
      </c>
      <c r="D76" s="12" t="s">
        <v>61</v>
      </c>
      <c r="E76" s="12" t="s">
        <v>255</v>
      </c>
      <c r="F76" s="12" t="s">
        <v>256</v>
      </c>
      <c r="G76" s="13">
        <v>45775</v>
      </c>
      <c r="H76" s="13">
        <v>45775</v>
      </c>
      <c r="I76" s="13">
        <v>45775</v>
      </c>
      <c r="J76" s="30" t="s">
        <v>24</v>
      </c>
      <c r="K76" s="27">
        <v>10880</v>
      </c>
      <c r="L76" s="27"/>
      <c r="M76" s="27"/>
      <c r="N76" s="27"/>
      <c r="O76" s="27"/>
      <c r="P76" s="28">
        <f t="shared" si="2"/>
        <v>10880</v>
      </c>
      <c r="Q76" s="34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ht="14.25" hidden="1" customHeight="1" spans="1:28">
      <c r="A77" s="10" t="s">
        <v>18</v>
      </c>
      <c r="B77" s="12" t="s">
        <v>257</v>
      </c>
      <c r="C77" s="12" t="s">
        <v>258</v>
      </c>
      <c r="D77" s="12" t="s">
        <v>117</v>
      </c>
      <c r="E77" s="12" t="s">
        <v>118</v>
      </c>
      <c r="F77" s="12" t="s">
        <v>259</v>
      </c>
      <c r="G77" s="13">
        <v>45776</v>
      </c>
      <c r="H77" s="13">
        <v>45776</v>
      </c>
      <c r="I77" s="13">
        <v>45776</v>
      </c>
      <c r="J77" s="30" t="s">
        <v>24</v>
      </c>
      <c r="K77" s="27">
        <v>800</v>
      </c>
      <c r="L77" s="27"/>
      <c r="M77" s="27"/>
      <c r="N77" s="27"/>
      <c r="O77" s="27"/>
      <c r="P77" s="28">
        <f t="shared" si="2"/>
        <v>800</v>
      </c>
      <c r="Q77" s="34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ht="14.25" hidden="1" customHeight="1" spans="1:28">
      <c r="A78" s="10" t="s">
        <v>18</v>
      </c>
      <c r="B78" s="12" t="s">
        <v>260</v>
      </c>
      <c r="C78" s="12" t="s">
        <v>20</v>
      </c>
      <c r="D78" s="12" t="s">
        <v>47</v>
      </c>
      <c r="E78" s="12" t="s">
        <v>48</v>
      </c>
      <c r="F78" s="12" t="s">
        <v>261</v>
      </c>
      <c r="G78" s="13">
        <v>45776</v>
      </c>
      <c r="H78" s="13"/>
      <c r="I78" s="13"/>
      <c r="J78" s="30" t="s">
        <v>50</v>
      </c>
      <c r="K78" s="27">
        <v>179068</v>
      </c>
      <c r="L78" s="27"/>
      <c r="M78" s="27"/>
      <c r="N78" s="27"/>
      <c r="O78" s="27"/>
      <c r="P78" s="28">
        <f t="shared" si="2"/>
        <v>4297.632</v>
      </c>
      <c r="Q78" s="34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ht="14.25" hidden="1" customHeight="1" spans="1:28">
      <c r="A79" s="10" t="s">
        <v>18</v>
      </c>
      <c r="B79" s="12" t="s">
        <v>262</v>
      </c>
      <c r="C79" s="10" t="s">
        <v>67</v>
      </c>
      <c r="D79" s="10" t="s">
        <v>68</v>
      </c>
      <c r="E79" s="10" t="s">
        <v>80</v>
      </c>
      <c r="F79" s="10" t="s">
        <v>263</v>
      </c>
      <c r="G79" s="13">
        <v>45777</v>
      </c>
      <c r="H79" s="13">
        <v>45805</v>
      </c>
      <c r="I79" s="13">
        <v>45805</v>
      </c>
      <c r="J79" s="30" t="s">
        <v>24</v>
      </c>
      <c r="K79" s="27">
        <v>34100</v>
      </c>
      <c r="L79" s="27"/>
      <c r="M79" s="27"/>
      <c r="N79" s="27"/>
      <c r="O79" s="27"/>
      <c r="P79" s="28">
        <f t="shared" si="2"/>
        <v>34100</v>
      </c>
      <c r="Q79" s="34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ht="14.25" hidden="1" customHeight="1" spans="1:28">
      <c r="A80" s="10" t="s">
        <v>18</v>
      </c>
      <c r="B80" s="12" t="s">
        <v>264</v>
      </c>
      <c r="C80" s="12" t="s">
        <v>67</v>
      </c>
      <c r="D80" s="12" t="s">
        <v>265</v>
      </c>
      <c r="E80" s="12" t="s">
        <v>266</v>
      </c>
      <c r="F80" s="12" t="s">
        <v>267</v>
      </c>
      <c r="G80" s="13">
        <v>45782</v>
      </c>
      <c r="H80" s="13">
        <v>45797</v>
      </c>
      <c r="I80" s="13">
        <v>45797</v>
      </c>
      <c r="J80" s="30" t="s">
        <v>24</v>
      </c>
      <c r="K80" s="27">
        <v>51000</v>
      </c>
      <c r="L80" s="27">
        <v>45000</v>
      </c>
      <c r="M80" s="27">
        <v>44100</v>
      </c>
      <c r="N80" s="27"/>
      <c r="O80" s="27"/>
      <c r="P80" s="28">
        <f t="shared" si="2"/>
        <v>44100</v>
      </c>
      <c r="Q80" s="34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ht="15.75" hidden="1" customHeight="1" spans="1:28">
      <c r="A81" s="10" t="s">
        <v>18</v>
      </c>
      <c r="B81" s="12" t="s">
        <v>268</v>
      </c>
      <c r="C81" s="12" t="s">
        <v>269</v>
      </c>
      <c r="D81" s="12" t="s">
        <v>47</v>
      </c>
      <c r="E81" s="12" t="s">
        <v>270</v>
      </c>
      <c r="F81" s="12" t="s">
        <v>271</v>
      </c>
      <c r="G81" s="13">
        <v>45790</v>
      </c>
      <c r="H81" s="13">
        <v>45790</v>
      </c>
      <c r="I81" s="13">
        <v>45790</v>
      </c>
      <c r="J81" s="30" t="s">
        <v>50</v>
      </c>
      <c r="K81" s="27">
        <v>51502.51</v>
      </c>
      <c r="L81" s="27"/>
      <c r="M81" s="27"/>
      <c r="N81" s="27"/>
      <c r="O81" s="27"/>
      <c r="P81" s="28">
        <f t="shared" si="2"/>
        <v>1236.06024</v>
      </c>
      <c r="Q81" s="34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ht="15.75" hidden="1" customHeight="1" spans="1:28">
      <c r="A82" s="10" t="s">
        <v>18</v>
      </c>
      <c r="B82" s="12" t="s">
        <v>272</v>
      </c>
      <c r="C82" s="12" t="s">
        <v>269</v>
      </c>
      <c r="D82" s="12" t="s">
        <v>47</v>
      </c>
      <c r="E82" s="12" t="s">
        <v>270</v>
      </c>
      <c r="F82" s="12" t="s">
        <v>273</v>
      </c>
      <c r="G82" s="13">
        <v>45790</v>
      </c>
      <c r="H82" s="13">
        <v>45790</v>
      </c>
      <c r="I82" s="13">
        <v>45790</v>
      </c>
      <c r="J82" s="30" t="s">
        <v>50</v>
      </c>
      <c r="K82" s="27">
        <v>45193.51</v>
      </c>
      <c r="L82" s="27"/>
      <c r="M82" s="27"/>
      <c r="N82" s="27"/>
      <c r="O82" s="27"/>
      <c r="P82" s="28">
        <f t="shared" si="2"/>
        <v>1084.64424</v>
      </c>
      <c r="Q82" s="34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ht="15.75" hidden="1" customHeight="1" spans="1:28">
      <c r="A83" s="10" t="s">
        <v>18</v>
      </c>
      <c r="B83" s="12" t="s">
        <v>274</v>
      </c>
      <c r="C83" s="12" t="s">
        <v>275</v>
      </c>
      <c r="D83" s="12" t="s">
        <v>276</v>
      </c>
      <c r="E83" s="12" t="s">
        <v>277</v>
      </c>
      <c r="F83" s="12" t="s">
        <v>278</v>
      </c>
      <c r="G83" s="13">
        <v>45790</v>
      </c>
      <c r="H83" s="13">
        <v>45791</v>
      </c>
      <c r="I83" s="13">
        <v>45792</v>
      </c>
      <c r="J83" s="30" t="s">
        <v>24</v>
      </c>
      <c r="K83" s="48">
        <v>1899.5</v>
      </c>
      <c r="L83" s="27"/>
      <c r="M83" s="27"/>
      <c r="N83" s="27"/>
      <c r="O83" s="27"/>
      <c r="P83" s="28">
        <f t="shared" si="2"/>
        <v>1899.5</v>
      </c>
      <c r="Q83" s="34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ht="15.75" hidden="1" customHeight="1" spans="1:28">
      <c r="A84" s="35" t="s">
        <v>18</v>
      </c>
      <c r="B84" s="35" t="s">
        <v>279</v>
      </c>
      <c r="C84" s="35" t="s">
        <v>67</v>
      </c>
      <c r="D84" s="35" t="s">
        <v>134</v>
      </c>
      <c r="E84" s="35" t="s">
        <v>280</v>
      </c>
      <c r="F84" s="35" t="s">
        <v>281</v>
      </c>
      <c r="G84" s="36">
        <v>45797</v>
      </c>
      <c r="H84" s="36">
        <v>45800</v>
      </c>
      <c r="I84" s="36">
        <v>45800</v>
      </c>
      <c r="J84" s="39" t="s">
        <v>24</v>
      </c>
      <c r="K84" s="49">
        <v>5245.85</v>
      </c>
      <c r="L84" s="27"/>
      <c r="M84" s="27"/>
      <c r="N84" s="27"/>
      <c r="O84" s="27"/>
      <c r="P84" s="28">
        <f t="shared" si="2"/>
        <v>5245.85</v>
      </c>
      <c r="Q84" s="34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ht="15.75" hidden="1" customHeight="1" spans="1:28">
      <c r="A85" s="35" t="s">
        <v>18</v>
      </c>
      <c r="B85" s="35" t="s">
        <v>282</v>
      </c>
      <c r="C85" s="35" t="s">
        <v>269</v>
      </c>
      <c r="D85" s="12" t="s">
        <v>47</v>
      </c>
      <c r="E85" s="35" t="s">
        <v>48</v>
      </c>
      <c r="F85" s="35" t="s">
        <v>283</v>
      </c>
      <c r="G85" s="36">
        <v>45806</v>
      </c>
      <c r="H85" s="36">
        <v>45806</v>
      </c>
      <c r="I85" s="36">
        <v>45806</v>
      </c>
      <c r="J85" s="30" t="s">
        <v>50</v>
      </c>
      <c r="K85" s="49">
        <v>23941.5</v>
      </c>
      <c r="L85" s="27"/>
      <c r="M85" s="27"/>
      <c r="N85" s="27"/>
      <c r="O85" s="27"/>
      <c r="P85" s="28">
        <f t="shared" si="2"/>
        <v>574.596</v>
      </c>
      <c r="Q85" s="34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ht="15.75" hidden="1" customHeight="1" spans="1:28">
      <c r="A86" s="35" t="s">
        <v>18</v>
      </c>
      <c r="B86" s="35" t="s">
        <v>284</v>
      </c>
      <c r="C86" s="35" t="s">
        <v>269</v>
      </c>
      <c r="D86" s="12" t="s">
        <v>47</v>
      </c>
      <c r="E86" s="35" t="s">
        <v>48</v>
      </c>
      <c r="F86" s="35" t="s">
        <v>285</v>
      </c>
      <c r="G86" s="36">
        <v>45807</v>
      </c>
      <c r="H86" s="36">
        <v>45807</v>
      </c>
      <c r="I86" s="36">
        <v>45807</v>
      </c>
      <c r="J86" s="30" t="s">
        <v>50</v>
      </c>
      <c r="K86" s="49">
        <v>481773.68</v>
      </c>
      <c r="L86" s="27"/>
      <c r="M86" s="27"/>
      <c r="N86" s="27"/>
      <c r="O86" s="27"/>
      <c r="P86" s="28">
        <f t="shared" si="2"/>
        <v>11562.56832</v>
      </c>
      <c r="Q86" s="34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ht="15.75" hidden="1" customHeight="1" spans="1:28">
      <c r="A87" s="35" t="s">
        <v>18</v>
      </c>
      <c r="B87" s="35" t="s">
        <v>286</v>
      </c>
      <c r="C87" s="35" t="s">
        <v>269</v>
      </c>
      <c r="D87" s="12" t="s">
        <v>47</v>
      </c>
      <c r="E87" s="35" t="s">
        <v>48</v>
      </c>
      <c r="F87" s="35" t="s">
        <v>287</v>
      </c>
      <c r="G87" s="36">
        <v>45807</v>
      </c>
      <c r="H87" s="36">
        <v>45807</v>
      </c>
      <c r="I87" s="36">
        <v>45807</v>
      </c>
      <c r="J87" s="30" t="s">
        <v>50</v>
      </c>
      <c r="K87" s="49">
        <v>481773.68</v>
      </c>
      <c r="L87" s="27"/>
      <c r="M87" s="27"/>
      <c r="N87" s="27"/>
      <c r="O87" s="27"/>
      <c r="P87" s="28">
        <f t="shared" si="2"/>
        <v>11562.56832</v>
      </c>
      <c r="Q87" s="34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ht="15.75" hidden="1" customHeight="1" spans="1:28">
      <c r="A88" s="35" t="s">
        <v>18</v>
      </c>
      <c r="B88" s="35" t="s">
        <v>288</v>
      </c>
      <c r="C88" s="35" t="s">
        <v>269</v>
      </c>
      <c r="D88" s="12" t="s">
        <v>47</v>
      </c>
      <c r="E88" s="35" t="s">
        <v>48</v>
      </c>
      <c r="F88" s="35" t="s">
        <v>289</v>
      </c>
      <c r="G88" s="36">
        <v>45807</v>
      </c>
      <c r="H88" s="36">
        <v>45807</v>
      </c>
      <c r="I88" s="36">
        <v>45807</v>
      </c>
      <c r="J88" s="30" t="s">
        <v>50</v>
      </c>
      <c r="K88" s="49">
        <v>727765.91</v>
      </c>
      <c r="L88" s="27"/>
      <c r="M88" s="27"/>
      <c r="N88" s="27"/>
      <c r="O88" s="27"/>
      <c r="P88" s="28">
        <f t="shared" si="2"/>
        <v>17466.38184</v>
      </c>
      <c r="Q88" s="34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ht="15.75" hidden="1" customHeight="1" spans="1:28">
      <c r="A89" s="35" t="s">
        <v>18</v>
      </c>
      <c r="B89" s="35" t="s">
        <v>290</v>
      </c>
      <c r="C89" s="35" t="s">
        <v>67</v>
      </c>
      <c r="D89" s="35" t="s">
        <v>68</v>
      </c>
      <c r="E89" s="35" t="s">
        <v>80</v>
      </c>
      <c r="F89" s="35" t="s">
        <v>291</v>
      </c>
      <c r="G89" s="36">
        <v>45807</v>
      </c>
      <c r="H89" s="36">
        <v>45811</v>
      </c>
      <c r="I89" s="36">
        <v>45811</v>
      </c>
      <c r="J89" s="39" t="s">
        <v>24</v>
      </c>
      <c r="K89" s="49">
        <v>5000</v>
      </c>
      <c r="L89" s="27">
        <v>2154</v>
      </c>
      <c r="M89" s="27"/>
      <c r="N89" s="27"/>
      <c r="O89" s="27"/>
      <c r="P89" s="28">
        <f t="shared" si="2"/>
        <v>2154</v>
      </c>
      <c r="Q89" s="34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ht="15.75" hidden="1" customHeight="1" spans="1:28">
      <c r="A90" s="35" t="s">
        <v>18</v>
      </c>
      <c r="B90" s="35" t="s">
        <v>292</v>
      </c>
      <c r="C90" s="35" t="s">
        <v>89</v>
      </c>
      <c r="D90" s="35" t="s">
        <v>102</v>
      </c>
      <c r="E90" s="35" t="s">
        <v>195</v>
      </c>
      <c r="F90" s="35" t="s">
        <v>293</v>
      </c>
      <c r="G90" s="36">
        <v>45778</v>
      </c>
      <c r="H90" s="36">
        <v>45812</v>
      </c>
      <c r="I90" s="36">
        <v>45812</v>
      </c>
      <c r="J90" s="39" t="s">
        <v>24</v>
      </c>
      <c r="K90" s="49">
        <v>500</v>
      </c>
      <c r="L90" s="27"/>
      <c r="M90" s="27"/>
      <c r="N90" s="27"/>
      <c r="O90" s="27"/>
      <c r="P90" s="28">
        <f t="shared" si="2"/>
        <v>500</v>
      </c>
      <c r="Q90" s="34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ht="15.75" hidden="1" customHeight="1" spans="1:28">
      <c r="A91" s="35" t="s">
        <v>18</v>
      </c>
      <c r="B91" s="35" t="s">
        <v>294</v>
      </c>
      <c r="C91" s="35" t="s">
        <v>89</v>
      </c>
      <c r="D91" s="35" t="s">
        <v>157</v>
      </c>
      <c r="E91" s="35" t="s">
        <v>158</v>
      </c>
      <c r="F91" s="35" t="s">
        <v>295</v>
      </c>
      <c r="G91" s="36">
        <v>45779</v>
      </c>
      <c r="H91" s="36">
        <v>45812</v>
      </c>
      <c r="I91" s="36">
        <v>45812</v>
      </c>
      <c r="J91" s="39" t="s">
        <v>24</v>
      </c>
      <c r="K91" s="49">
        <v>13120</v>
      </c>
      <c r="L91" s="27"/>
      <c r="M91" s="27"/>
      <c r="N91" s="27"/>
      <c r="O91" s="27"/>
      <c r="P91" s="28">
        <f t="shared" si="2"/>
        <v>13120</v>
      </c>
      <c r="Q91" s="34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ht="15.75" hidden="1" customHeight="1" spans="1:28">
      <c r="A92" s="35" t="s">
        <v>18</v>
      </c>
      <c r="B92" s="35" t="s">
        <v>296</v>
      </c>
      <c r="C92" s="35" t="s">
        <v>67</v>
      </c>
      <c r="D92" s="35" t="s">
        <v>83</v>
      </c>
      <c r="E92" s="35" t="s">
        <v>297</v>
      </c>
      <c r="F92" s="35" t="s">
        <v>298</v>
      </c>
      <c r="G92" s="36">
        <v>45818</v>
      </c>
      <c r="H92" s="36">
        <v>45832</v>
      </c>
      <c r="I92" s="36">
        <v>45827</v>
      </c>
      <c r="J92" s="39" t="s">
        <v>24</v>
      </c>
      <c r="K92" s="49">
        <v>880000</v>
      </c>
      <c r="L92" s="27"/>
      <c r="M92" s="27"/>
      <c r="N92" s="27"/>
      <c r="O92" s="27"/>
      <c r="P92" s="28">
        <f t="shared" si="2"/>
        <v>880000</v>
      </c>
      <c r="Q92" s="34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ht="15.75" hidden="1" customHeight="1" spans="1:28">
      <c r="A93" s="35" t="s">
        <v>18</v>
      </c>
      <c r="B93" s="35" t="s">
        <v>299</v>
      </c>
      <c r="C93" s="35" t="s">
        <v>67</v>
      </c>
      <c r="D93" s="35" t="s">
        <v>300</v>
      </c>
      <c r="E93" s="35" t="s">
        <v>301</v>
      </c>
      <c r="F93" s="35" t="s">
        <v>302</v>
      </c>
      <c r="G93" s="36">
        <v>45818</v>
      </c>
      <c r="H93" s="36">
        <v>45822</v>
      </c>
      <c r="I93" s="36">
        <v>45824</v>
      </c>
      <c r="J93" s="39" t="s">
        <v>24</v>
      </c>
      <c r="K93" s="49">
        <v>128000</v>
      </c>
      <c r="L93" s="27">
        <v>90000</v>
      </c>
      <c r="M93" s="27"/>
      <c r="N93" s="27"/>
      <c r="O93" s="27"/>
      <c r="P93" s="28">
        <f t="shared" si="2"/>
        <v>90000</v>
      </c>
      <c r="Q93" s="34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ht="15.75" hidden="1" customHeight="1" spans="1:28">
      <c r="A94" s="35" t="s">
        <v>18</v>
      </c>
      <c r="B94" s="35" t="s">
        <v>303</v>
      </c>
      <c r="C94" s="35" t="s">
        <v>67</v>
      </c>
      <c r="D94" s="35" t="s">
        <v>83</v>
      </c>
      <c r="E94" s="35" t="s">
        <v>297</v>
      </c>
      <c r="F94" s="35" t="s">
        <v>304</v>
      </c>
      <c r="G94" s="36">
        <v>45819</v>
      </c>
      <c r="H94" s="36">
        <v>45898</v>
      </c>
      <c r="I94" s="36">
        <v>45828</v>
      </c>
      <c r="J94" s="50"/>
      <c r="K94" s="49"/>
      <c r="L94" s="27"/>
      <c r="M94" s="27"/>
      <c r="N94" s="27"/>
      <c r="O94" s="27"/>
      <c r="P94" s="28" t="str">
        <f t="shared" si="2"/>
        <v/>
      </c>
      <c r="Q94" s="34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ht="15.75" hidden="1" customHeight="1" spans="1:28">
      <c r="A95" s="35" t="s">
        <v>18</v>
      </c>
      <c r="B95" s="35" t="s">
        <v>305</v>
      </c>
      <c r="C95" s="35" t="s">
        <v>67</v>
      </c>
      <c r="D95" s="35" t="s">
        <v>83</v>
      </c>
      <c r="E95" s="35" t="s">
        <v>297</v>
      </c>
      <c r="F95" s="35" t="s">
        <v>306</v>
      </c>
      <c r="G95" s="36">
        <v>45819</v>
      </c>
      <c r="H95" s="36">
        <v>45898</v>
      </c>
      <c r="I95" s="36">
        <v>45828</v>
      </c>
      <c r="J95" s="50"/>
      <c r="K95" s="49"/>
      <c r="L95" s="27"/>
      <c r="M95" s="27"/>
      <c r="N95" s="27"/>
      <c r="O95" s="27"/>
      <c r="P95" s="28" t="str">
        <f t="shared" si="2"/>
        <v/>
      </c>
      <c r="Q95" s="34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ht="15.75" hidden="1" customHeight="1" spans="1:28">
      <c r="A96" s="35" t="s">
        <v>18</v>
      </c>
      <c r="B96" s="35" t="s">
        <v>307</v>
      </c>
      <c r="C96" s="35" t="s">
        <v>67</v>
      </c>
      <c r="D96" s="35" t="s">
        <v>83</v>
      </c>
      <c r="E96" s="35" t="s">
        <v>297</v>
      </c>
      <c r="F96" s="35" t="s">
        <v>308</v>
      </c>
      <c r="G96" s="36">
        <v>45819</v>
      </c>
      <c r="H96" s="36">
        <v>45832</v>
      </c>
      <c r="I96" s="36">
        <v>45828</v>
      </c>
      <c r="J96" s="39" t="s">
        <v>24</v>
      </c>
      <c r="K96" s="49">
        <v>1125000</v>
      </c>
      <c r="L96" s="27"/>
      <c r="M96" s="27"/>
      <c r="N96" s="27"/>
      <c r="O96" s="27"/>
      <c r="P96" s="28">
        <f t="shared" si="2"/>
        <v>1125000</v>
      </c>
      <c r="Q96" s="34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ht="15.75" hidden="1" customHeight="1" spans="1:28">
      <c r="A97" s="35" t="s">
        <v>18</v>
      </c>
      <c r="B97" s="35" t="s">
        <v>309</v>
      </c>
      <c r="C97" s="35" t="s">
        <v>67</v>
      </c>
      <c r="D97" s="35" t="s">
        <v>174</v>
      </c>
      <c r="E97" s="35" t="s">
        <v>175</v>
      </c>
      <c r="F97" s="35" t="s">
        <v>310</v>
      </c>
      <c r="G97" s="36">
        <v>45820</v>
      </c>
      <c r="H97" s="36">
        <v>45820</v>
      </c>
      <c r="I97" s="36">
        <v>45820</v>
      </c>
      <c r="J97" s="39" t="s">
        <v>24</v>
      </c>
      <c r="K97" s="49">
        <v>2500</v>
      </c>
      <c r="L97" s="27"/>
      <c r="M97" s="27"/>
      <c r="N97" s="27"/>
      <c r="O97" s="27"/>
      <c r="P97" s="28">
        <f t="shared" si="2"/>
        <v>2500</v>
      </c>
      <c r="Q97" s="34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ht="15.75" hidden="1" customHeight="1" spans="1:28">
      <c r="A98" s="35" t="s">
        <v>18</v>
      </c>
      <c r="B98" s="35" t="s">
        <v>311</v>
      </c>
      <c r="C98" s="35" t="s">
        <v>67</v>
      </c>
      <c r="D98" s="35" t="s">
        <v>157</v>
      </c>
      <c r="E98" s="35" t="s">
        <v>312</v>
      </c>
      <c r="F98" s="35" t="s">
        <v>313</v>
      </c>
      <c r="G98" s="36">
        <v>45821</v>
      </c>
      <c r="H98" s="36">
        <v>45821</v>
      </c>
      <c r="I98" s="36">
        <v>45821</v>
      </c>
      <c r="J98" s="39" t="s">
        <v>24</v>
      </c>
      <c r="K98" s="49">
        <v>1950</v>
      </c>
      <c r="L98" s="27"/>
      <c r="M98" s="27"/>
      <c r="N98" s="27"/>
      <c r="O98" s="27"/>
      <c r="P98" s="28">
        <f t="shared" si="2"/>
        <v>1950</v>
      </c>
      <c r="Q98" s="34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ht="15.75" hidden="1" customHeight="1" spans="1:28">
      <c r="A99" s="35" t="s">
        <v>18</v>
      </c>
      <c r="B99" s="35" t="s">
        <v>314</v>
      </c>
      <c r="C99" s="35" t="s">
        <v>269</v>
      </c>
      <c r="D99" s="12" t="s">
        <v>47</v>
      </c>
      <c r="E99" s="35" t="s">
        <v>48</v>
      </c>
      <c r="F99" s="35" t="s">
        <v>315</v>
      </c>
      <c r="G99" s="36">
        <v>45827</v>
      </c>
      <c r="H99" s="36">
        <v>45827</v>
      </c>
      <c r="I99" s="36">
        <v>45827</v>
      </c>
      <c r="J99" s="30" t="s">
        <v>50</v>
      </c>
      <c r="K99" s="49">
        <v>27621</v>
      </c>
      <c r="L99" s="27"/>
      <c r="M99" s="27"/>
      <c r="N99" s="27"/>
      <c r="O99" s="27"/>
      <c r="P99" s="28">
        <f t="shared" si="2"/>
        <v>662.904</v>
      </c>
      <c r="Q99" s="34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ht="15.75" hidden="1" customHeight="1" spans="1:28">
      <c r="A100" s="35" t="s">
        <v>18</v>
      </c>
      <c r="B100" s="35" t="s">
        <v>316</v>
      </c>
      <c r="C100" s="35" t="s">
        <v>269</v>
      </c>
      <c r="D100" s="12" t="s">
        <v>47</v>
      </c>
      <c r="E100" s="35" t="s">
        <v>48</v>
      </c>
      <c r="F100" s="35" t="s">
        <v>317</v>
      </c>
      <c r="G100" s="36">
        <v>45827</v>
      </c>
      <c r="H100" s="36">
        <v>45827</v>
      </c>
      <c r="I100" s="36">
        <v>45827</v>
      </c>
      <c r="J100" s="30" t="s">
        <v>50</v>
      </c>
      <c r="K100" s="49">
        <v>240850</v>
      </c>
      <c r="L100" s="27"/>
      <c r="M100" s="27"/>
      <c r="N100" s="27"/>
      <c r="O100" s="27"/>
      <c r="P100" s="28">
        <f>IF(J100="€",IF(O100&lt;&gt;"",O100,IF(N100&lt;&gt;"",N100,IF(M100&lt;&gt;"",M100,IF(L100&lt;&gt;"",L100,IF(K100&lt;&gt;"",K100,""))))),IF(J100="$",IF(O100&lt;&gt;"",O100,IF(N100&lt;&gt;"",N100,IF(M100&lt;&gt;"",M100,IF(L100&lt;&gt;"",L100,IF(K100&lt;&gt;"",K100,"")))))*0.93,IF(J100="TRY",IF(O100&lt;&gt;"",O100,IF(N100&lt;&gt;"",N100,IF(M100&lt;&gt;"",M100,IF(L100&lt;&gt;"",L100,IF(K100&lt;&gt;"",K100,"")))))*0.024,"")))</f>
        <v>5780.4</v>
      </c>
      <c r="Q100" s="34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ht="15.75" hidden="1" customHeight="1" spans="1:28">
      <c r="A101" s="35" t="s">
        <v>18</v>
      </c>
      <c r="B101" s="35" t="s">
        <v>318</v>
      </c>
      <c r="C101" s="35" t="s">
        <v>89</v>
      </c>
      <c r="D101" s="35" t="s">
        <v>68</v>
      </c>
      <c r="E101" s="35" t="s">
        <v>319</v>
      </c>
      <c r="F101" s="35" t="s">
        <v>320</v>
      </c>
      <c r="G101" s="36">
        <v>45831</v>
      </c>
      <c r="H101" s="36">
        <v>45831</v>
      </c>
      <c r="I101" s="36">
        <v>45831</v>
      </c>
      <c r="J101" s="50"/>
      <c r="K101" s="49"/>
      <c r="L101" s="27"/>
      <c r="M101" s="27"/>
      <c r="N101" s="27"/>
      <c r="O101" s="27"/>
      <c r="P101" s="28" t="str">
        <f>IF(J101="€",IF(O101&lt;&gt;"",O101,IF(N101&lt;&gt;"",N101,IF(M101&lt;&gt;"",M101,IF(L101&lt;&gt;"",L101,IF(K101&lt;&gt;"",K101,""))))),IF(J101="$",IF(O101&lt;&gt;"",O101,IF(N101&lt;&gt;"",N101,IF(M101&lt;&gt;"",M101,IF(L101&lt;&gt;"",L101,IF(K101&lt;&gt;"",K101,"")))))*0.93,IF(J101="TRY",IF(O101&lt;&gt;"",O101,IF(N101&lt;&gt;"",N101,IF(M101&lt;&gt;"",M101,IF(L101&lt;&gt;"",L101,IF(K101&lt;&gt;"",K101,"")))))*0.024,"")))</f>
        <v/>
      </c>
      <c r="Q101" s="34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ht="15.75" hidden="1" customHeight="1" spans="1:28">
      <c r="A102" s="35" t="s">
        <v>18</v>
      </c>
      <c r="B102" s="35" t="s">
        <v>321</v>
      </c>
      <c r="C102" s="35" t="s">
        <v>89</v>
      </c>
      <c r="D102" s="35" t="s">
        <v>157</v>
      </c>
      <c r="E102" s="35" t="s">
        <v>322</v>
      </c>
      <c r="F102" s="35" t="s">
        <v>323</v>
      </c>
      <c r="G102" s="36">
        <v>45834</v>
      </c>
      <c r="H102" s="36">
        <v>45834</v>
      </c>
      <c r="I102" s="36">
        <v>45834</v>
      </c>
      <c r="J102" s="39" t="s">
        <v>24</v>
      </c>
      <c r="K102" s="49">
        <v>2850</v>
      </c>
      <c r="L102" s="27"/>
      <c r="M102" s="27"/>
      <c r="N102" s="27"/>
      <c r="O102" s="27"/>
      <c r="P102" s="28">
        <f>IF(J102="€",IF(O102&lt;&gt;"",O102,IF(N102&lt;&gt;"",N102,IF(M102&lt;&gt;"",M102,IF(L102&lt;&gt;"",L102,IF(K102&lt;&gt;"",K102,""))))),IF(J102="$",IF(O102&lt;&gt;"",O102,IF(N102&lt;&gt;"",N102,IF(M102&lt;&gt;"",M102,IF(L102&lt;&gt;"",L102,IF(K102&lt;&gt;"",K102,"")))))*0.93,IF(J102="TRY",IF(O102&lt;&gt;"",O102,IF(N102&lt;&gt;"",N102,IF(M102&lt;&gt;"",M102,IF(L102&lt;&gt;"",L102,IF(K102&lt;&gt;"",K102,"")))))*0.024,"")))</f>
        <v>2850</v>
      </c>
      <c r="Q102" s="34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ht="15.75" hidden="1" customHeight="1" spans="1:28">
      <c r="A103" s="37" t="s">
        <v>18</v>
      </c>
      <c r="B103" s="12" t="s">
        <v>324</v>
      </c>
      <c r="C103" s="12" t="s">
        <v>67</v>
      </c>
      <c r="D103" s="12" t="s">
        <v>174</v>
      </c>
      <c r="E103" s="12" t="s">
        <v>175</v>
      </c>
      <c r="F103" s="12" t="s">
        <v>325</v>
      </c>
      <c r="G103" s="36">
        <v>45841</v>
      </c>
      <c r="H103" s="36">
        <v>45841</v>
      </c>
      <c r="I103" s="36">
        <v>45841</v>
      </c>
      <c r="J103" s="39" t="s">
        <v>24</v>
      </c>
      <c r="K103" s="30">
        <v>3300</v>
      </c>
      <c r="L103" s="27"/>
      <c r="M103" s="30"/>
      <c r="N103" s="30"/>
      <c r="O103" s="30"/>
      <c r="P103" s="51">
        <f>IF(J103="€",IF(O103&lt;&gt;"",O103,IF(N103&lt;&gt;"",N103,IF(M103&lt;&gt;"",M103,IF(L103&lt;&gt;"",L103,IF(K103&lt;&gt;"",K103,""))))),IF(J103="$",IF(O103&lt;&gt;"",O103,IF(N103&lt;&gt;"",N103,IF(M103&lt;&gt;"",M103,IF(L103&lt;&gt;"",L103,IF(K103&lt;&gt;"",K103,"")))))*0.93,IF(J103="TRY",IF(O103&lt;&gt;"",O103,IF(N103&lt;&gt;"",N103,IF(M103&lt;&gt;"",M103,IF(L103&lt;&gt;"",L103,IF(K103&lt;&gt;"",K103,"")))))*0.024,"")))</f>
        <v>3300</v>
      </c>
      <c r="Q103" s="56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ht="15.75" hidden="1" customHeight="1" spans="1:28">
      <c r="A104" s="37" t="s">
        <v>18</v>
      </c>
      <c r="B104" s="12" t="s">
        <v>326</v>
      </c>
      <c r="C104" s="12" t="s">
        <v>269</v>
      </c>
      <c r="D104" s="12" t="s">
        <v>327</v>
      </c>
      <c r="E104" s="12" t="s">
        <v>48</v>
      </c>
      <c r="F104" s="12" t="s">
        <v>328</v>
      </c>
      <c r="G104" s="13">
        <v>45847</v>
      </c>
      <c r="H104" s="13">
        <v>45847</v>
      </c>
      <c r="I104" s="13">
        <v>45847</v>
      </c>
      <c r="J104" s="30"/>
      <c r="K104" s="30"/>
      <c r="L104" s="27"/>
      <c r="M104" s="30"/>
      <c r="N104" s="30"/>
      <c r="O104" s="30"/>
      <c r="P104" s="51" t="str">
        <f>IF(J104="€",IF(O104&lt;&gt;"",O104,IF(N104&lt;&gt;"",N104,IF(M104&lt;&gt;"",M104,IF(L104&lt;&gt;"",L104,IF(K104&lt;&gt;"",K104,""))))),IF(J104="$",IF(O104&lt;&gt;"",O104,IF(N104&lt;&gt;"",N104,IF(M104&lt;&gt;"",M104,IF(L104&lt;&gt;"",L104,IF(K104&lt;&gt;"",K104,"")))))*0.93,IF(J104="TRY",IF(O104&lt;&gt;"",O104,IF(N104&lt;&gt;"",N104,IF(M104&lt;&gt;"",M104,IF(L104&lt;&gt;"",L104,IF(K104&lt;&gt;"",K104,"")))))*0.024,"")))</f>
        <v/>
      </c>
      <c r="Q104" s="56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ht="15.75" hidden="1" customHeight="1" spans="1:17">
      <c r="A105" s="38" t="s">
        <v>329</v>
      </c>
      <c r="B105" s="39" t="s">
        <v>330</v>
      </c>
      <c r="C105" s="40" t="s">
        <v>67</v>
      </c>
      <c r="D105" s="40" t="s">
        <v>331</v>
      </c>
      <c r="E105" s="40" t="s">
        <v>332</v>
      </c>
      <c r="F105" s="41" t="s">
        <v>333</v>
      </c>
      <c r="G105" s="36">
        <v>45848</v>
      </c>
      <c r="H105" s="42"/>
      <c r="I105" s="42"/>
      <c r="J105" s="52"/>
      <c r="K105" s="53"/>
      <c r="L105" s="54"/>
      <c r="M105" s="55"/>
      <c r="N105" s="55"/>
      <c r="O105" s="55"/>
      <c r="P105" s="51" t="str">
        <f>IF(J105="€",IF(O105&lt;&gt;"",O105,IF(N105&lt;&gt;"",N105,IF(M105&lt;&gt;"",M105,IF(L105&lt;&gt;"",L105,IF(K105&lt;&gt;"",K105,""))))),IF(J105="$",IF(O105&lt;&gt;"",O105,IF(N105&lt;&gt;"",N105,IF(M105&lt;&gt;"",M105,IF(L105&lt;&gt;"",L105,IF(K105&lt;&gt;"",K105,"")))))*0.93,IF(J105="TRY",IF(O105&lt;&gt;"",O105,IF(N105&lt;&gt;"",N105,IF(M105&lt;&gt;"",M105,IF(L105&lt;&gt;"",L105,IF(K105&lt;&gt;"",K105,"")))))*0.024,"")))</f>
        <v/>
      </c>
      <c r="Q105" s="57"/>
    </row>
    <row r="106" ht="15.75" hidden="1" customHeight="1" spans="1:17">
      <c r="A106" s="38" t="s">
        <v>329</v>
      </c>
      <c r="B106" s="39" t="s">
        <v>334</v>
      </c>
      <c r="C106" s="40" t="s">
        <v>67</v>
      </c>
      <c r="D106" s="40" t="s">
        <v>117</v>
      </c>
      <c r="E106" s="40" t="s">
        <v>118</v>
      </c>
      <c r="F106" s="43" t="s">
        <v>335</v>
      </c>
      <c r="G106" s="36">
        <v>45847</v>
      </c>
      <c r="H106" s="42"/>
      <c r="I106" s="42"/>
      <c r="J106" s="52"/>
      <c r="K106" s="53"/>
      <c r="L106" s="54"/>
      <c r="M106" s="55"/>
      <c r="N106" s="55"/>
      <c r="O106" s="55"/>
      <c r="P106" s="51" t="str">
        <f>IF(J106="€",IF(O106&lt;&gt;"",O106,IF(N106&lt;&gt;"",N106,IF(M106&lt;&gt;"",M106,IF(L106&lt;&gt;"",L106,IF(K106&lt;&gt;"",K106,""))))),IF(J106="$",IF(O106&lt;&gt;"",O106,IF(N106&lt;&gt;"",N106,IF(M106&lt;&gt;"",M106,IF(L106&lt;&gt;"",L106,IF(K106&lt;&gt;"",K106,"")))))*0.93,IF(J106="TRY",IF(O106&lt;&gt;"",O106,IF(N106&lt;&gt;"",N106,IF(M106&lt;&gt;"",M106,IF(L106&lt;&gt;"",L106,IF(K106&lt;&gt;"",K106,"")))))*0.024,"")))</f>
        <v/>
      </c>
      <c r="Q106" s="57"/>
    </row>
    <row r="107" ht="15.75" hidden="1" customHeight="1" spans="1:17">
      <c r="A107" s="38" t="s">
        <v>336</v>
      </c>
      <c r="B107" s="39" t="s">
        <v>337</v>
      </c>
      <c r="C107" s="40" t="s">
        <v>67</v>
      </c>
      <c r="D107" s="40" t="s">
        <v>338</v>
      </c>
      <c r="E107" s="40" t="s">
        <v>118</v>
      </c>
      <c r="F107" s="40" t="s">
        <v>339</v>
      </c>
      <c r="G107" s="36">
        <v>45845</v>
      </c>
      <c r="H107" s="36">
        <v>45857</v>
      </c>
      <c r="I107" s="36">
        <v>45857</v>
      </c>
      <c r="J107" s="39" t="s">
        <v>24</v>
      </c>
      <c r="K107" s="51">
        <v>3000</v>
      </c>
      <c r="L107" s="54"/>
      <c r="M107" s="55"/>
      <c r="N107" s="55"/>
      <c r="O107" s="55"/>
      <c r="P107" s="51">
        <f>IF(J107="€",IF(O107&lt;&gt;"",O107,IF(N107&lt;&gt;"",N107,IF(M107&lt;&gt;"",M107,IF(L107&lt;&gt;"",L107,IF(K107&lt;&gt;"",K107,""))))),IF(J107="$",IF(O107&lt;&gt;"",O107,IF(N107&lt;&gt;"",N107,IF(M107&lt;&gt;"",M107,IF(L107&lt;&gt;"",L107,IF(K107&lt;&gt;"",K107,"")))))*0.93,IF(J107="TRY",IF(O107&lt;&gt;"",O107,IF(N107&lt;&gt;"",N107,IF(M107&lt;&gt;"",M107,IF(L107&lt;&gt;"",L107,IF(K107&lt;&gt;"",K107,"")))))*0.024,"")))</f>
        <v>3000</v>
      </c>
      <c r="Q107" s="57"/>
    </row>
    <row r="108" ht="15.75" hidden="1" customHeight="1" spans="1:17">
      <c r="A108" s="38" t="s">
        <v>336</v>
      </c>
      <c r="B108" s="39" t="s">
        <v>340</v>
      </c>
      <c r="C108" s="40" t="s">
        <v>341</v>
      </c>
      <c r="D108" s="40" t="s">
        <v>342</v>
      </c>
      <c r="E108" s="40" t="s">
        <v>343</v>
      </c>
      <c r="F108" s="40" t="s">
        <v>344</v>
      </c>
      <c r="G108" s="42">
        <v>45849</v>
      </c>
      <c r="H108" s="42">
        <v>45862</v>
      </c>
      <c r="I108" s="42">
        <v>45862</v>
      </c>
      <c r="J108" s="39" t="s">
        <v>24</v>
      </c>
      <c r="K108" s="51">
        <v>29500</v>
      </c>
      <c r="L108" s="54"/>
      <c r="M108" s="55"/>
      <c r="N108" s="55"/>
      <c r="O108" s="55"/>
      <c r="P108" s="51">
        <f>IF(J108="€",IF(O108&lt;&gt;"",O108,IF(N108&lt;&gt;"",N108,IF(M108&lt;&gt;"",M108,IF(L108&lt;&gt;"",L108,IF(K108&lt;&gt;"",K108,""))))),IF(J108="$",IF(O108&lt;&gt;"",O108,IF(N108&lt;&gt;"",N108,IF(M108&lt;&gt;"",M108,IF(L108&lt;&gt;"",L108,IF(K108&lt;&gt;"",K108,"")))))*0.93,IF(J108="TRY",IF(O108&lt;&gt;"",O108,IF(N108&lt;&gt;"",N108,IF(M108&lt;&gt;"",M108,IF(L108&lt;&gt;"",L108,IF(K108&lt;&gt;"",K108,"")))))*0.024,"")))</f>
        <v>29500</v>
      </c>
      <c r="Q108" s="57"/>
    </row>
    <row r="109" ht="15.75" hidden="1" customHeight="1" spans="1:28">
      <c r="A109" s="38" t="s">
        <v>329</v>
      </c>
      <c r="B109" s="44" t="s">
        <v>345</v>
      </c>
      <c r="C109" s="40" t="s">
        <v>67</v>
      </c>
      <c r="D109" s="40" t="s">
        <v>68</v>
      </c>
      <c r="E109" s="40" t="s">
        <v>144</v>
      </c>
      <c r="F109" s="40" t="s">
        <v>346</v>
      </c>
      <c r="G109" s="36">
        <v>45845</v>
      </c>
      <c r="H109" s="42"/>
      <c r="I109" s="42"/>
      <c r="J109" s="44"/>
      <c r="K109" s="51"/>
      <c r="L109" s="55"/>
      <c r="M109" s="55"/>
      <c r="N109" s="55"/>
      <c r="O109" s="55"/>
      <c r="P109" s="51" t="str">
        <f>IF(J109="€",IF(O109&lt;&gt;"",O109,IF(N109&lt;&gt;"",N109,IF(M109&lt;&gt;"",M109,IF(L109&lt;&gt;"",L109,IF(K109&lt;&gt;"",K109,""))))),IF(J109="$",IF(O109&lt;&gt;"",O109,IF(N109&lt;&gt;"",N109,IF(M109&lt;&gt;"",M109,IF(L109&lt;&gt;"",L109,IF(K109&lt;&gt;"",K109,"")))))*0.93,IF(J109="TRY",IF(O109&lt;&gt;"",O109,IF(N109&lt;&gt;"",N109,IF(M109&lt;&gt;"",M109,IF(L109&lt;&gt;"",L109,IF(K109&lt;&gt;"",K109,"")))))*0.024,"")))</f>
        <v/>
      </c>
      <c r="Q109" s="58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ht="15.75" hidden="1" customHeight="1" spans="1:28">
      <c r="A110" s="38" t="s">
        <v>336</v>
      </c>
      <c r="B110" s="44" t="s">
        <v>347</v>
      </c>
      <c r="C110" s="40" t="s">
        <v>67</v>
      </c>
      <c r="D110" s="40" t="s">
        <v>348</v>
      </c>
      <c r="E110" s="40" t="s">
        <v>349</v>
      </c>
      <c r="F110" s="40" t="s">
        <v>350</v>
      </c>
      <c r="G110" s="36">
        <v>45845</v>
      </c>
      <c r="H110" s="42">
        <v>45849</v>
      </c>
      <c r="I110" s="42">
        <v>45849</v>
      </c>
      <c r="J110" s="39" t="s">
        <v>24</v>
      </c>
      <c r="K110" s="51">
        <v>6550</v>
      </c>
      <c r="L110" s="55"/>
      <c r="M110" s="55"/>
      <c r="N110" s="55"/>
      <c r="O110" s="55"/>
      <c r="P110" s="51">
        <f>IF(J110="€",IF(O110&lt;&gt;"",O110,IF(N110&lt;&gt;"",N110,IF(M110&lt;&gt;"",M110,IF(L110&lt;&gt;"",L110,IF(K110&lt;&gt;"",K110,""))))),IF(J110="$",IF(O110&lt;&gt;"",O110,IF(N110&lt;&gt;"",N110,IF(M110&lt;&gt;"",M110,IF(L110&lt;&gt;"",L110,IF(K110&lt;&gt;"",K110,"")))))*0.93,IF(J110="TRY",IF(O110&lt;&gt;"",O110,IF(N110&lt;&gt;"",N110,IF(M110&lt;&gt;"",M110,IF(L110&lt;&gt;"",L110,IF(K110&lt;&gt;"",K110,"")))))*0.024,"")))</f>
        <v>6550</v>
      </c>
      <c r="Q110" s="58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ht="15.75" hidden="1" customHeight="1" spans="1:28">
      <c r="A111" s="38" t="s">
        <v>18</v>
      </c>
      <c r="B111" s="44" t="s">
        <v>351</v>
      </c>
      <c r="C111" s="40" t="s">
        <v>67</v>
      </c>
      <c r="D111" s="40" t="s">
        <v>352</v>
      </c>
      <c r="E111" s="40" t="s">
        <v>353</v>
      </c>
      <c r="F111" s="40" t="s">
        <v>354</v>
      </c>
      <c r="G111" s="36">
        <v>45845</v>
      </c>
      <c r="H111" s="36">
        <v>45857</v>
      </c>
      <c r="I111" s="36">
        <v>45857</v>
      </c>
      <c r="J111" s="39" t="s">
        <v>24</v>
      </c>
      <c r="K111" s="51">
        <v>517000</v>
      </c>
      <c r="L111" s="55"/>
      <c r="M111" s="55"/>
      <c r="N111" s="55"/>
      <c r="O111" s="55"/>
      <c r="P111" s="51">
        <f>IF(J111="€",IF(O111&lt;&gt;"",O111,IF(N111&lt;&gt;"",N111,IF(M111&lt;&gt;"",M111,IF(L111&lt;&gt;"",L111,IF(K111&lt;&gt;"",K111,""))))),IF(J111="$",IF(O111&lt;&gt;"",O111,IF(N111&lt;&gt;"",N111,IF(M111&lt;&gt;"",M111,IF(L111&lt;&gt;"",L111,IF(K111&lt;&gt;"",K111,"")))))*0.93,IF(J111="TRY",IF(O111&lt;&gt;"",O111,IF(N111&lt;&gt;"",N111,IF(M111&lt;&gt;"",M111,IF(L111&lt;&gt;"",L111,IF(K111&lt;&gt;"",K111,"")))))*0.024,"")))</f>
        <v>517000</v>
      </c>
      <c r="Q111" s="58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ht="15.75" hidden="1" customHeight="1" spans="1:28">
      <c r="A112" s="38" t="s">
        <v>329</v>
      </c>
      <c r="B112" s="44" t="s">
        <v>355</v>
      </c>
      <c r="C112" s="40" t="s">
        <v>67</v>
      </c>
      <c r="D112" s="40" t="s">
        <v>228</v>
      </c>
      <c r="E112" s="40" t="s">
        <v>356</v>
      </c>
      <c r="F112" s="43" t="s">
        <v>357</v>
      </c>
      <c r="G112" s="36">
        <v>45846</v>
      </c>
      <c r="H112" s="36">
        <v>45855</v>
      </c>
      <c r="I112" s="36">
        <v>45855</v>
      </c>
      <c r="J112" s="39" t="s">
        <v>24</v>
      </c>
      <c r="K112" s="51">
        <v>63500</v>
      </c>
      <c r="L112" s="55"/>
      <c r="M112" s="55"/>
      <c r="N112" s="55"/>
      <c r="O112" s="55"/>
      <c r="P112" s="51">
        <f>IF(J112="€",IF(O112&lt;&gt;"",O112,IF(N112&lt;&gt;"",N112,IF(M112&lt;&gt;"",M112,IF(L112&lt;&gt;"",L112,IF(K112&lt;&gt;"",K112,""))))),IF(J112="$",IF(O112&lt;&gt;"",O112,IF(N112&lt;&gt;"",N112,IF(M112&lt;&gt;"",M112,IF(L112&lt;&gt;"",L112,IF(K112&lt;&gt;"",K112,"")))))*0.93,IF(J112="TRY",IF(O112&lt;&gt;"",O112,IF(N112&lt;&gt;"",N112,IF(M112&lt;&gt;"",M112,IF(L112&lt;&gt;"",L112,IF(K112&lt;&gt;"",K112,"")))))*0.024,"")))</f>
        <v>63500</v>
      </c>
      <c r="Q112" s="58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ht="15.75" hidden="1" customHeight="1" spans="1:28">
      <c r="A113" s="38" t="s">
        <v>329</v>
      </c>
      <c r="B113" s="44" t="s">
        <v>358</v>
      </c>
      <c r="C113" s="40" t="s">
        <v>67</v>
      </c>
      <c r="D113" s="40" t="s">
        <v>359</v>
      </c>
      <c r="E113" s="40" t="s">
        <v>360</v>
      </c>
      <c r="F113" s="45" t="s">
        <v>361</v>
      </c>
      <c r="G113" s="36">
        <v>45848</v>
      </c>
      <c r="H113" s="36">
        <v>45869</v>
      </c>
      <c r="I113" s="36">
        <v>45855</v>
      </c>
      <c r="J113" s="39" t="s">
        <v>24</v>
      </c>
      <c r="K113" s="51">
        <v>165000</v>
      </c>
      <c r="L113" s="55"/>
      <c r="M113" s="55"/>
      <c r="N113" s="55"/>
      <c r="O113" s="55"/>
      <c r="P113" s="51">
        <f>IF(J113="€",IF(O113&lt;&gt;"",O113,IF(N113&lt;&gt;"",N113,IF(M113&lt;&gt;"",M113,IF(L113&lt;&gt;"",L113,IF(K113&lt;&gt;"",K113,""))))),IF(J113="$",IF(O113&lt;&gt;"",O113,IF(N113&lt;&gt;"",N113,IF(M113&lt;&gt;"",M113,IF(L113&lt;&gt;"",L113,IF(K113&lt;&gt;"",K113,"")))))*0.93,IF(J113="TRY",IF(O113&lt;&gt;"",O113,IF(N113&lt;&gt;"",N113,IF(M113&lt;&gt;"",M113,IF(L113&lt;&gt;"",L113,IF(K113&lt;&gt;"",K113,"")))))*0.024,"")))</f>
        <v>165000</v>
      </c>
      <c r="Q113" s="58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ht="15.75" hidden="1" customHeight="1" spans="1:28">
      <c r="A114" s="38" t="s">
        <v>329</v>
      </c>
      <c r="B114" s="44" t="s">
        <v>362</v>
      </c>
      <c r="C114" s="40" t="s">
        <v>67</v>
      </c>
      <c r="D114" s="40" t="s">
        <v>68</v>
      </c>
      <c r="E114" s="40" t="s">
        <v>69</v>
      </c>
      <c r="F114" s="40" t="s">
        <v>363</v>
      </c>
      <c r="G114" s="36">
        <v>45848</v>
      </c>
      <c r="H114" s="36">
        <v>45856</v>
      </c>
      <c r="I114" s="36">
        <v>45856</v>
      </c>
      <c r="J114" s="39" t="s">
        <v>24</v>
      </c>
      <c r="K114" s="51">
        <v>2250</v>
      </c>
      <c r="L114" s="55"/>
      <c r="M114" s="55"/>
      <c r="N114" s="55"/>
      <c r="O114" s="55"/>
      <c r="P114" s="51">
        <f>IF(J114="€",IF(O114&lt;&gt;"",O114,IF(N114&lt;&gt;"",N114,IF(M114&lt;&gt;"",M114,IF(L114&lt;&gt;"",L114,IF(K114&lt;&gt;"",K114,""))))),IF(J114="$",IF(O114&lt;&gt;"",O114,IF(N114&lt;&gt;"",N114,IF(M114&lt;&gt;"",M114,IF(L114&lt;&gt;"",L114,IF(K114&lt;&gt;"",K114,"")))))*0.93,IF(J114="TRY",IF(O114&lt;&gt;"",O114,IF(N114&lt;&gt;"",N114,IF(M114&lt;&gt;"",M114,IF(L114&lt;&gt;"",L114,IF(K114&lt;&gt;"",K114,"")))))*0.024,"")))</f>
        <v>2250</v>
      </c>
      <c r="Q114" s="58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ht="15.75" hidden="1" customHeight="1" spans="1:28">
      <c r="A115" s="38" t="s">
        <v>336</v>
      </c>
      <c r="B115" s="44" t="s">
        <v>364</v>
      </c>
      <c r="C115" s="40" t="s">
        <v>67</v>
      </c>
      <c r="D115" s="40" t="s">
        <v>365</v>
      </c>
      <c r="E115" s="40" t="s">
        <v>28</v>
      </c>
      <c r="F115" s="46" t="s">
        <v>366</v>
      </c>
      <c r="G115" s="36">
        <v>45845</v>
      </c>
      <c r="H115" s="42">
        <v>45849</v>
      </c>
      <c r="I115" s="42">
        <v>45849</v>
      </c>
      <c r="J115" s="39" t="s">
        <v>24</v>
      </c>
      <c r="K115" s="51">
        <v>11000</v>
      </c>
      <c r="L115" s="55"/>
      <c r="M115" s="55"/>
      <c r="N115" s="55"/>
      <c r="O115" s="55"/>
      <c r="P115" s="51">
        <f>IF(J115="€",IF(O115&lt;&gt;"",O115,IF(N115&lt;&gt;"",N115,IF(M115&lt;&gt;"",M115,IF(L115&lt;&gt;"",L115,IF(K115&lt;&gt;"",K115,""))))),IF(J115="$",IF(O115&lt;&gt;"",O115,IF(N115&lt;&gt;"",N115,IF(M115&lt;&gt;"",M115,IF(L115&lt;&gt;"",L115,IF(K115&lt;&gt;"",K115,"")))))*0.93,IF(J115="TRY",IF(O115&lt;&gt;"",O115,IF(N115&lt;&gt;"",N115,IF(M115&lt;&gt;"",M115,IF(L115&lt;&gt;"",L115,IF(K115&lt;&gt;"",K115,"")))))*0.024,"")))</f>
        <v>11000</v>
      </c>
      <c r="Q115" s="58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ht="15.75" hidden="1" customHeight="1" spans="1:28">
      <c r="A116" s="38" t="s">
        <v>18</v>
      </c>
      <c r="B116" s="44" t="s">
        <v>367</v>
      </c>
      <c r="C116" s="40" t="s">
        <v>67</v>
      </c>
      <c r="D116" s="40" t="s">
        <v>134</v>
      </c>
      <c r="E116" s="40" t="s">
        <v>203</v>
      </c>
      <c r="F116" s="41" t="s">
        <v>368</v>
      </c>
      <c r="G116" s="36">
        <v>45848</v>
      </c>
      <c r="H116" s="36">
        <v>45854</v>
      </c>
      <c r="I116" s="36">
        <v>45854</v>
      </c>
      <c r="J116" s="39" t="s">
        <v>24</v>
      </c>
      <c r="K116" s="51">
        <v>22770</v>
      </c>
      <c r="L116" s="44">
        <v>19000</v>
      </c>
      <c r="M116" s="55"/>
      <c r="N116" s="55"/>
      <c r="O116" s="55"/>
      <c r="P116" s="51">
        <f>IF(J116="€",IF(O116&lt;&gt;"",O116,IF(N116&lt;&gt;"",N116,IF(M116&lt;&gt;"",M116,IF(L116&lt;&gt;"",L116,IF(K116&lt;&gt;"",K116,""))))),IF(J116="$",IF(O116&lt;&gt;"",O116,IF(N116&lt;&gt;"",N116,IF(M116&lt;&gt;"",M116,IF(L116&lt;&gt;"",L116,IF(K116&lt;&gt;"",K116,"")))))*0.93,IF(J116="TRY",IF(O116&lt;&gt;"",O116,IF(N116&lt;&gt;"",N116,IF(M116&lt;&gt;"",M116,IF(L116&lt;&gt;"",L116,IF(K116&lt;&gt;"",K116,"")))))*0.024,"")))</f>
        <v>19000</v>
      </c>
      <c r="Q116" s="58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ht="15.75" hidden="1" customHeight="1" spans="1:28">
      <c r="A117" s="38" t="s">
        <v>336</v>
      </c>
      <c r="B117" s="44" t="s">
        <v>369</v>
      </c>
      <c r="C117" s="40" t="s">
        <v>67</v>
      </c>
      <c r="D117" s="40" t="s">
        <v>157</v>
      </c>
      <c r="E117" s="40" t="s">
        <v>370</v>
      </c>
      <c r="F117" s="41" t="s">
        <v>371</v>
      </c>
      <c r="G117" s="36">
        <v>45848</v>
      </c>
      <c r="H117" s="36">
        <v>45850</v>
      </c>
      <c r="I117" s="36">
        <v>45850</v>
      </c>
      <c r="J117" s="39" t="s">
        <v>24</v>
      </c>
      <c r="K117" s="51">
        <v>1032</v>
      </c>
      <c r="L117" s="55"/>
      <c r="M117" s="55"/>
      <c r="N117" s="55"/>
      <c r="O117" s="55"/>
      <c r="P117" s="51">
        <f>IF(J117="€",IF(O117&lt;&gt;"",O117,IF(N117&lt;&gt;"",N117,IF(M117&lt;&gt;"",M117,IF(L117&lt;&gt;"",L117,IF(K117&lt;&gt;"",K117,""))))),IF(J117="$",IF(O117&lt;&gt;"",O117,IF(N117&lt;&gt;"",N117,IF(M117&lt;&gt;"",M117,IF(L117&lt;&gt;"",L117,IF(K117&lt;&gt;"",K117,"")))))*0.93,IF(J117="TRY",IF(O117&lt;&gt;"",O117,IF(N117&lt;&gt;"",N117,IF(M117&lt;&gt;"",M117,IF(L117&lt;&gt;"",L117,IF(K117&lt;&gt;"",K117,"")))))*0.024,"")))</f>
        <v>1032</v>
      </c>
      <c r="Q117" s="58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ht="15.75" hidden="1" customHeight="1" spans="1:28">
      <c r="A118" s="38" t="s">
        <v>336</v>
      </c>
      <c r="B118" s="44" t="s">
        <v>372</v>
      </c>
      <c r="C118" s="40" t="s">
        <v>67</v>
      </c>
      <c r="D118" s="40" t="s">
        <v>157</v>
      </c>
      <c r="E118" s="40" t="s">
        <v>312</v>
      </c>
      <c r="F118" s="41" t="s">
        <v>373</v>
      </c>
      <c r="G118" s="36">
        <v>45848</v>
      </c>
      <c r="H118" s="36">
        <v>45850</v>
      </c>
      <c r="I118" s="36">
        <v>45850</v>
      </c>
      <c r="J118" s="39" t="s">
        <v>24</v>
      </c>
      <c r="K118" s="51">
        <v>4850</v>
      </c>
      <c r="L118" s="55"/>
      <c r="M118" s="55"/>
      <c r="N118" s="55"/>
      <c r="O118" s="55"/>
      <c r="P118" s="51">
        <f>IF(J118="€",IF(O118&lt;&gt;"",O118,IF(N118&lt;&gt;"",N118,IF(M118&lt;&gt;"",M118,IF(L118&lt;&gt;"",L118,IF(K118&lt;&gt;"",K118,""))))),IF(J118="$",IF(O118&lt;&gt;"",O118,IF(N118&lt;&gt;"",N118,IF(M118&lt;&gt;"",M118,IF(L118&lt;&gt;"",L118,IF(K118&lt;&gt;"",K118,"")))))*0.93,IF(J118="TRY",IF(O118&lt;&gt;"",O118,IF(N118&lt;&gt;"",N118,IF(M118&lt;&gt;"",M118,IF(L118&lt;&gt;"",L118,IF(K118&lt;&gt;"",K118,"")))))*0.024,"")))</f>
        <v>4850</v>
      </c>
      <c r="Q118" s="58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ht="15.75" hidden="1" customHeight="1" spans="1:28">
      <c r="A119" s="38" t="s">
        <v>336</v>
      </c>
      <c r="B119" s="44" t="s">
        <v>374</v>
      </c>
      <c r="C119" s="40" t="s">
        <v>67</v>
      </c>
      <c r="D119" s="40" t="s">
        <v>375</v>
      </c>
      <c r="E119" s="40" t="s">
        <v>376</v>
      </c>
      <c r="F119" s="41" t="s">
        <v>377</v>
      </c>
      <c r="G119" s="42">
        <v>45849</v>
      </c>
      <c r="H119" s="36">
        <v>45989</v>
      </c>
      <c r="I119" s="36">
        <v>45868</v>
      </c>
      <c r="J119" s="39" t="s">
        <v>24</v>
      </c>
      <c r="K119" s="51">
        <v>52300</v>
      </c>
      <c r="L119" s="44">
        <v>21600</v>
      </c>
      <c r="M119" s="55"/>
      <c r="N119" s="55"/>
      <c r="O119" s="55"/>
      <c r="P119" s="51">
        <f>IF(J119="€",IF(O119&lt;&gt;"",O119,IF(N119&lt;&gt;"",N119,IF(M119&lt;&gt;"",M119,IF(L119&lt;&gt;"",L119,IF(K119&lt;&gt;"",K119,""))))),IF(J119="$",IF(O119&lt;&gt;"",O119,IF(N119&lt;&gt;"",N119,IF(M119&lt;&gt;"",M119,IF(L119&lt;&gt;"",L119,IF(K119&lt;&gt;"",K119,"")))))*0.93,IF(J119="TRY",IF(O119&lt;&gt;"",O119,IF(N119&lt;&gt;"",N119,IF(M119&lt;&gt;"",M119,IF(L119&lt;&gt;"",L119,IF(K119&lt;&gt;"",K119,"")))))*0.024,"")))</f>
        <v>21600</v>
      </c>
      <c r="Q119" s="58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ht="15.75" hidden="1" customHeight="1" spans="1:28">
      <c r="A120" s="38" t="s">
        <v>378</v>
      </c>
      <c r="B120" s="44" t="s">
        <v>379</v>
      </c>
      <c r="C120" s="40" t="s">
        <v>67</v>
      </c>
      <c r="D120" s="40" t="s">
        <v>380</v>
      </c>
      <c r="E120" s="40" t="s">
        <v>381</v>
      </c>
      <c r="F120" s="41" t="s">
        <v>382</v>
      </c>
      <c r="G120" s="36">
        <v>45847</v>
      </c>
      <c r="H120" s="42">
        <v>45856</v>
      </c>
      <c r="I120" s="42">
        <v>45856</v>
      </c>
      <c r="J120" s="39" t="s">
        <v>24</v>
      </c>
      <c r="K120" s="51">
        <v>195000</v>
      </c>
      <c r="L120" s="55"/>
      <c r="M120" s="55"/>
      <c r="N120" s="55"/>
      <c r="O120" s="55"/>
      <c r="P120" s="51">
        <f>IF(J120="€",IF(O120&lt;&gt;"",O120,IF(N120&lt;&gt;"",N120,IF(M120&lt;&gt;"",M120,IF(L120&lt;&gt;"",L120,IF(K120&lt;&gt;"",K120,""))))),IF(J120="$",IF(O120&lt;&gt;"",O120,IF(N120&lt;&gt;"",N120,IF(M120&lt;&gt;"",M120,IF(L120&lt;&gt;"",L120,IF(K120&lt;&gt;"",K120,"")))))*0.93,IF(J120="TRY",IF(O120&lt;&gt;"",O120,IF(N120&lt;&gt;"",N120,IF(M120&lt;&gt;"",M120,IF(L120&lt;&gt;"",L120,IF(K120&lt;&gt;"",K120,"")))))*0.024,"")))</f>
        <v>195000</v>
      </c>
      <c r="Q120" s="58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ht="15.75" hidden="1" customHeight="1" spans="1:28">
      <c r="A121" s="38" t="s">
        <v>336</v>
      </c>
      <c r="B121" s="44" t="s">
        <v>383</v>
      </c>
      <c r="C121" s="40" t="s">
        <v>67</v>
      </c>
      <c r="D121" s="40" t="s">
        <v>384</v>
      </c>
      <c r="E121" s="40" t="s">
        <v>385</v>
      </c>
      <c r="F121" s="41" t="s">
        <v>386</v>
      </c>
      <c r="G121" s="42">
        <v>45849</v>
      </c>
      <c r="H121" s="42">
        <v>45863</v>
      </c>
      <c r="I121" s="42">
        <v>45863</v>
      </c>
      <c r="J121" s="39" t="s">
        <v>24</v>
      </c>
      <c r="K121" s="51">
        <v>96500</v>
      </c>
      <c r="L121" s="55"/>
      <c r="M121" s="55"/>
      <c r="N121" s="55"/>
      <c r="O121" s="55"/>
      <c r="P121" s="51">
        <f>IF(J121="€",IF(O121&lt;&gt;"",O121,IF(N121&lt;&gt;"",N121,IF(M121&lt;&gt;"",M121,IF(L121&lt;&gt;"",L121,IF(K121&lt;&gt;"",K121,""))))),IF(J121="$",IF(O121&lt;&gt;"",O121,IF(N121&lt;&gt;"",N121,IF(M121&lt;&gt;"",M121,IF(L121&lt;&gt;"",L121,IF(K121&lt;&gt;"",K121,"")))))*0.93,IF(J121="TRY",IF(O121&lt;&gt;"",O121,IF(N121&lt;&gt;"",N121,IF(M121&lt;&gt;"",M121,IF(L121&lt;&gt;"",L121,IF(K121&lt;&gt;"",K121,"")))))*0.024,"")))</f>
        <v>96500</v>
      </c>
      <c r="Q121" s="58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ht="15.75" hidden="1" customHeight="1" spans="1:28">
      <c r="A122" s="38" t="s">
        <v>329</v>
      </c>
      <c r="B122" s="44" t="s">
        <v>387</v>
      </c>
      <c r="C122" s="40" t="s">
        <v>67</v>
      </c>
      <c r="D122" s="40" t="s">
        <v>265</v>
      </c>
      <c r="E122" s="40" t="s">
        <v>388</v>
      </c>
      <c r="F122" s="41" t="s">
        <v>389</v>
      </c>
      <c r="G122" s="36">
        <v>45848</v>
      </c>
      <c r="H122" s="42"/>
      <c r="I122" s="36"/>
      <c r="J122" s="44"/>
      <c r="K122" s="51"/>
      <c r="L122" s="55"/>
      <c r="M122" s="55"/>
      <c r="N122" s="55"/>
      <c r="O122" s="55"/>
      <c r="P122" s="51" t="str">
        <f>IF(J122="€",IF(O122&lt;&gt;"",O122,IF(N122&lt;&gt;"",N122,IF(M122&lt;&gt;"",M122,IF(L122&lt;&gt;"",L122,IF(K122&lt;&gt;"",K122,""))))),IF(J122="$",IF(O122&lt;&gt;"",O122,IF(N122&lt;&gt;"",N122,IF(M122&lt;&gt;"",M122,IF(L122&lt;&gt;"",L122,IF(K122&lt;&gt;"",K122,"")))))*0.93,IF(J122="TRY",IF(O122&lt;&gt;"",O122,IF(N122&lt;&gt;"",N122,IF(M122&lt;&gt;"",M122,IF(L122&lt;&gt;"",L122,IF(K122&lt;&gt;"",K122,"")))))*0.024,"")))</f>
        <v/>
      </c>
      <c r="Q122" s="58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ht="15.75" hidden="1" customHeight="1" spans="1:28">
      <c r="A123" s="38" t="s">
        <v>336</v>
      </c>
      <c r="B123" s="44" t="s">
        <v>390</v>
      </c>
      <c r="C123" s="40" t="s">
        <v>67</v>
      </c>
      <c r="D123" s="40" t="s">
        <v>359</v>
      </c>
      <c r="E123" s="40" t="s">
        <v>391</v>
      </c>
      <c r="F123" s="47" t="s">
        <v>392</v>
      </c>
      <c r="G123" s="36">
        <v>45848</v>
      </c>
      <c r="H123" s="42">
        <v>45856</v>
      </c>
      <c r="I123" s="42">
        <v>45855</v>
      </c>
      <c r="J123" s="39" t="s">
        <v>24</v>
      </c>
      <c r="K123" s="51">
        <v>16500</v>
      </c>
      <c r="L123" s="55"/>
      <c r="M123" s="55"/>
      <c r="N123" s="55"/>
      <c r="O123" s="55"/>
      <c r="P123" s="51">
        <f>IF(J123="€",IF(O123&lt;&gt;"",O123,IF(N123&lt;&gt;"",N123,IF(M123&lt;&gt;"",M123,IF(L123&lt;&gt;"",L123,IF(K123&lt;&gt;"",K123,""))))),IF(J123="$",IF(O123&lt;&gt;"",O123,IF(N123&lt;&gt;"",N123,IF(M123&lt;&gt;"",M123,IF(L123&lt;&gt;"",L123,IF(K123&lt;&gt;"",K123,"")))))*0.93,IF(J123="TRY",IF(O123&lt;&gt;"",O123,IF(N123&lt;&gt;"",N123,IF(M123&lt;&gt;"",M123,IF(L123&lt;&gt;"",L123,IF(K123&lt;&gt;"",K123,"")))))*0.024,"")))</f>
        <v>16500</v>
      </c>
      <c r="Q123" s="58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ht="15.75" hidden="1" customHeight="1" spans="1:28">
      <c r="A124" s="38" t="s">
        <v>329</v>
      </c>
      <c r="B124" s="44" t="s">
        <v>393</v>
      </c>
      <c r="C124" s="40" t="s">
        <v>67</v>
      </c>
      <c r="D124" s="40" t="s">
        <v>394</v>
      </c>
      <c r="E124" s="40" t="s">
        <v>118</v>
      </c>
      <c r="F124" s="43" t="s">
        <v>395</v>
      </c>
      <c r="G124" s="42">
        <v>45849</v>
      </c>
      <c r="H124" s="42"/>
      <c r="I124" s="36"/>
      <c r="J124" s="44"/>
      <c r="K124" s="51"/>
      <c r="L124" s="55"/>
      <c r="M124" s="55"/>
      <c r="N124" s="55"/>
      <c r="O124" s="55"/>
      <c r="P124" s="51" t="str">
        <f>IF(J124="€",IF(O124&lt;&gt;"",O124,IF(N124&lt;&gt;"",N124,IF(M124&lt;&gt;"",M124,IF(L124&lt;&gt;"",L124,IF(K124&lt;&gt;"",K124,""))))),IF(J124="$",IF(O124&lt;&gt;"",O124,IF(N124&lt;&gt;"",N124,IF(M124&lt;&gt;"",M124,IF(L124&lt;&gt;"",L124,IF(K124&lt;&gt;"",K124,"")))))*0.93,IF(J124="TRY",IF(O124&lt;&gt;"",O124,IF(N124&lt;&gt;"",N124,IF(M124&lt;&gt;"",M124,IF(L124&lt;&gt;"",L124,IF(K124&lt;&gt;"",K124,"")))))*0.024,"")))</f>
        <v/>
      </c>
      <c r="Q124" s="58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ht="15.75" hidden="1" customHeight="1" spans="1:28">
      <c r="A125" s="38" t="s">
        <v>18</v>
      </c>
      <c r="B125" s="44" t="s">
        <v>396</v>
      </c>
      <c r="C125" s="40" t="s">
        <v>67</v>
      </c>
      <c r="D125" s="40" t="s">
        <v>68</v>
      </c>
      <c r="E125" s="40" t="s">
        <v>397</v>
      </c>
      <c r="F125" s="41" t="s">
        <v>398</v>
      </c>
      <c r="G125" s="42">
        <v>45849</v>
      </c>
      <c r="H125" s="36">
        <v>45854</v>
      </c>
      <c r="I125" s="36">
        <v>45854</v>
      </c>
      <c r="J125" s="39" t="s">
        <v>24</v>
      </c>
      <c r="K125" s="51">
        <v>800</v>
      </c>
      <c r="L125" s="55"/>
      <c r="M125" s="55"/>
      <c r="N125" s="55"/>
      <c r="O125" s="55"/>
      <c r="P125" s="51">
        <f>IF(J125="€",IF(O125&lt;&gt;"",O125,IF(N125&lt;&gt;"",N125,IF(M125&lt;&gt;"",M125,IF(L125&lt;&gt;"",L125,IF(K125&lt;&gt;"",K125,""))))),IF(J125="$",IF(O125&lt;&gt;"",O125,IF(N125&lt;&gt;"",N125,IF(M125&lt;&gt;"",M125,IF(L125&lt;&gt;"",L125,IF(K125&lt;&gt;"",K125,"")))))*0.93,IF(J125="TRY",IF(O125&lt;&gt;"",O125,IF(N125&lt;&gt;"",N125,IF(M125&lt;&gt;"",M125,IF(L125&lt;&gt;"",L125,IF(K125&lt;&gt;"",K125,"")))))*0.024,"")))</f>
        <v>800</v>
      </c>
      <c r="Q125" s="58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ht="15.75" hidden="1" customHeight="1" spans="1:28">
      <c r="A126" s="38" t="s">
        <v>18</v>
      </c>
      <c r="B126" s="44" t="s">
        <v>399</v>
      </c>
      <c r="C126" s="40" t="s">
        <v>67</v>
      </c>
      <c r="D126" s="40" t="s">
        <v>265</v>
      </c>
      <c r="E126" s="40" t="s">
        <v>400</v>
      </c>
      <c r="F126" s="41" t="s">
        <v>401</v>
      </c>
      <c r="G126" s="36">
        <v>45854</v>
      </c>
      <c r="H126" s="42">
        <v>45855</v>
      </c>
      <c r="I126" s="42">
        <v>45855</v>
      </c>
      <c r="J126" s="39" t="s">
        <v>24</v>
      </c>
      <c r="K126" s="51">
        <v>3000</v>
      </c>
      <c r="L126" s="55"/>
      <c r="M126" s="55"/>
      <c r="N126" s="55"/>
      <c r="O126" s="55"/>
      <c r="P126" s="51">
        <f>IF(J126="€",IF(O126&lt;&gt;"",O126,IF(N126&lt;&gt;"",N126,IF(M126&lt;&gt;"",M126,IF(L126&lt;&gt;"",L126,IF(K126&lt;&gt;"",K126,""))))),IF(J126="$",IF(O126&lt;&gt;"",O126,IF(N126&lt;&gt;"",N126,IF(M126&lt;&gt;"",M126,IF(L126&lt;&gt;"",L126,IF(K126&lt;&gt;"",K126,"")))))*0.93,IF(J126="TRY",IF(O126&lt;&gt;"",O126,IF(N126&lt;&gt;"",N126,IF(M126&lt;&gt;"",M126,IF(L126&lt;&gt;"",L126,IF(K126&lt;&gt;"",K126,"")))))*0.024,"")))</f>
        <v>3000</v>
      </c>
      <c r="Q126" s="58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ht="15.75" hidden="1" customHeight="1" spans="1:28">
      <c r="A127" s="38" t="s">
        <v>336</v>
      </c>
      <c r="B127" s="44" t="s">
        <v>402</v>
      </c>
      <c r="C127" s="40" t="s">
        <v>341</v>
      </c>
      <c r="D127" s="40" t="s">
        <v>403</v>
      </c>
      <c r="E127" s="40" t="s">
        <v>404</v>
      </c>
      <c r="F127" s="41" t="s">
        <v>405</v>
      </c>
      <c r="G127" s="36">
        <v>45854</v>
      </c>
      <c r="H127" s="42">
        <v>45863</v>
      </c>
      <c r="I127" s="42">
        <v>45863</v>
      </c>
      <c r="J127" s="39" t="s">
        <v>50</v>
      </c>
      <c r="K127" s="51">
        <v>39140000</v>
      </c>
      <c r="L127" s="55"/>
      <c r="M127" s="55"/>
      <c r="N127" s="55"/>
      <c r="O127" s="55"/>
      <c r="P127" s="51">
        <f>IF(J127="€",IF(O127&lt;&gt;"",O127,IF(N127&lt;&gt;"",N127,IF(M127&lt;&gt;"",M127,IF(L127&lt;&gt;"",L127,IF(K127&lt;&gt;"",K127,""))))),IF(J127="$",IF(O127&lt;&gt;"",O127,IF(N127&lt;&gt;"",N127,IF(M127&lt;&gt;"",M127,IF(L127&lt;&gt;"",L127,IF(K127&lt;&gt;"",K127,"")))))*0.93,IF(J127="TRY",IF(O127&lt;&gt;"",O127,IF(N127&lt;&gt;"",N127,IF(M127&lt;&gt;"",M127,IF(L127&lt;&gt;"",L127,IF(K127&lt;&gt;"",K127,"")))))*0.024,"")))</f>
        <v>939360</v>
      </c>
      <c r="Q127" s="58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ht="15.75" hidden="1" customHeight="1" spans="1:28">
      <c r="A128" s="38" t="s">
        <v>18</v>
      </c>
      <c r="B128" s="44" t="s">
        <v>406</v>
      </c>
      <c r="C128" s="40" t="s">
        <v>269</v>
      </c>
      <c r="D128" s="40" t="s">
        <v>327</v>
      </c>
      <c r="E128" s="40" t="s">
        <v>48</v>
      </c>
      <c r="F128" s="41" t="s">
        <v>407</v>
      </c>
      <c r="G128" s="42">
        <v>45856</v>
      </c>
      <c r="H128" s="42">
        <v>45856</v>
      </c>
      <c r="I128" s="42">
        <v>45856</v>
      </c>
      <c r="J128" s="39" t="s">
        <v>50</v>
      </c>
      <c r="K128" s="51" t="s">
        <v>408</v>
      </c>
      <c r="L128" s="55"/>
      <c r="M128" s="55"/>
      <c r="N128" s="55"/>
      <c r="O128" s="55"/>
      <c r="P128" s="51">
        <v>0</v>
      </c>
      <c r="Q128" s="58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ht="15.75" hidden="1" customHeight="1" spans="1:28">
      <c r="A129" s="38" t="s">
        <v>378</v>
      </c>
      <c r="B129" s="44" t="s">
        <v>409</v>
      </c>
      <c r="C129" s="40" t="s">
        <v>269</v>
      </c>
      <c r="D129" s="40" t="s">
        <v>327</v>
      </c>
      <c r="E129" s="40" t="s">
        <v>48</v>
      </c>
      <c r="F129" s="41" t="s">
        <v>410</v>
      </c>
      <c r="G129" s="42">
        <v>45856</v>
      </c>
      <c r="H129" s="42">
        <v>45856</v>
      </c>
      <c r="I129" s="42">
        <v>45856</v>
      </c>
      <c r="J129" s="39" t="s">
        <v>50</v>
      </c>
      <c r="K129" s="51" t="s">
        <v>411</v>
      </c>
      <c r="L129" s="55"/>
      <c r="M129" s="55"/>
      <c r="N129" s="55"/>
      <c r="O129" s="55"/>
      <c r="P129" s="51" t="e">
        <f t="shared" ref="P129:P170" si="3">IF(J129="€",IF(O129&lt;&gt;"",O129,IF(N129&lt;&gt;"",N129,IF(M129&lt;&gt;"",M129,IF(L129&lt;&gt;"",L129,IF(K129&lt;&gt;"",K129,""))))),IF(J129="$",IF(O129&lt;&gt;"",O129,IF(N129&lt;&gt;"",N129,IF(M129&lt;&gt;"",M129,IF(L129&lt;&gt;"",L129,IF(K129&lt;&gt;"",K129,"")))))*0.93,IF(J129="TRY",IF(O129&lt;&gt;"",O129,IF(N129&lt;&gt;"",N129,IF(M129&lt;&gt;"",M129,IF(L129&lt;&gt;"",L129,IF(K129&lt;&gt;"",K129,"")))))*0.024,"")))</f>
        <v>#VALUE!</v>
      </c>
      <c r="Q129" s="58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ht="15.75" hidden="1" customHeight="1" spans="1:28">
      <c r="A130" s="38" t="s">
        <v>18</v>
      </c>
      <c r="B130" s="44" t="s">
        <v>409</v>
      </c>
      <c r="C130" s="40" t="s">
        <v>269</v>
      </c>
      <c r="D130" s="40" t="s">
        <v>327</v>
      </c>
      <c r="E130" s="40" t="s">
        <v>48</v>
      </c>
      <c r="F130" s="41" t="s">
        <v>412</v>
      </c>
      <c r="G130" s="42">
        <v>45856</v>
      </c>
      <c r="H130" s="42">
        <v>45856</v>
      </c>
      <c r="I130" s="42">
        <v>45856</v>
      </c>
      <c r="J130" s="39" t="s">
        <v>50</v>
      </c>
      <c r="K130" s="51" t="s">
        <v>413</v>
      </c>
      <c r="L130" s="55"/>
      <c r="M130" s="55"/>
      <c r="N130" s="55"/>
      <c r="O130" s="55"/>
      <c r="P130" s="51">
        <v>0</v>
      </c>
      <c r="Q130" s="58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ht="15.75" hidden="1" customHeight="1" spans="1:28">
      <c r="A131" s="38" t="s">
        <v>18</v>
      </c>
      <c r="B131" s="44" t="s">
        <v>414</v>
      </c>
      <c r="C131" s="40" t="s">
        <v>269</v>
      </c>
      <c r="D131" s="40" t="s">
        <v>327</v>
      </c>
      <c r="E131" s="40" t="s">
        <v>48</v>
      </c>
      <c r="F131" s="41" t="s">
        <v>415</v>
      </c>
      <c r="G131" s="42">
        <v>45856</v>
      </c>
      <c r="H131" s="42">
        <v>45856</v>
      </c>
      <c r="I131" s="42">
        <v>45856</v>
      </c>
      <c r="J131" s="39" t="s">
        <v>50</v>
      </c>
      <c r="K131" s="51" t="s">
        <v>416</v>
      </c>
      <c r="L131" s="55"/>
      <c r="M131" s="55"/>
      <c r="N131" s="55"/>
      <c r="O131" s="55"/>
      <c r="P131" s="51">
        <v>0</v>
      </c>
      <c r="Q131" s="58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ht="15.75" hidden="1" customHeight="1" spans="1:28">
      <c r="A132" s="38" t="s">
        <v>18</v>
      </c>
      <c r="B132" s="44" t="s">
        <v>417</v>
      </c>
      <c r="C132" s="40" t="s">
        <v>269</v>
      </c>
      <c r="D132" s="40" t="s">
        <v>327</v>
      </c>
      <c r="E132" s="40" t="s">
        <v>418</v>
      </c>
      <c r="F132" s="41" t="s">
        <v>419</v>
      </c>
      <c r="G132" s="42">
        <v>45863</v>
      </c>
      <c r="H132" s="42">
        <v>45863</v>
      </c>
      <c r="I132" s="42">
        <v>45863</v>
      </c>
      <c r="J132" s="39" t="s">
        <v>50</v>
      </c>
      <c r="K132" s="51" t="s">
        <v>420</v>
      </c>
      <c r="L132" s="55"/>
      <c r="M132" s="55"/>
      <c r="N132" s="55"/>
      <c r="O132" s="55"/>
      <c r="P132" s="51">
        <v>0</v>
      </c>
      <c r="Q132" s="58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ht="15.75" hidden="1" customHeight="1" spans="1:28">
      <c r="A133" s="38" t="s">
        <v>18</v>
      </c>
      <c r="B133" s="39" t="s">
        <v>421</v>
      </c>
      <c r="C133" s="35" t="s">
        <v>67</v>
      </c>
      <c r="D133" s="35" t="s">
        <v>174</v>
      </c>
      <c r="E133" s="35" t="s">
        <v>175</v>
      </c>
      <c r="F133" s="35" t="s">
        <v>422</v>
      </c>
      <c r="G133" s="36">
        <v>45859</v>
      </c>
      <c r="H133" s="36">
        <v>45859</v>
      </c>
      <c r="I133" s="36">
        <v>45859</v>
      </c>
      <c r="J133" s="39" t="s">
        <v>24</v>
      </c>
      <c r="K133" s="72">
        <v>3600</v>
      </c>
      <c r="L133" s="73"/>
      <c r="M133" s="73"/>
      <c r="N133" s="73"/>
      <c r="O133" s="73"/>
      <c r="P133" s="51">
        <f t="shared" si="3"/>
        <v>3600</v>
      </c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ht="15.75" hidden="1" customHeight="1" spans="1:28">
      <c r="A134" s="38" t="s">
        <v>18</v>
      </c>
      <c r="B134" s="39" t="s">
        <v>423</v>
      </c>
      <c r="C134" s="35" t="s">
        <v>67</v>
      </c>
      <c r="D134" s="35" t="s">
        <v>424</v>
      </c>
      <c r="E134" s="35" t="s">
        <v>425</v>
      </c>
      <c r="F134" s="35" t="s">
        <v>94</v>
      </c>
      <c r="G134" s="36">
        <v>45859</v>
      </c>
      <c r="H134" s="36">
        <v>45859</v>
      </c>
      <c r="I134" s="36">
        <v>45859</v>
      </c>
      <c r="J134" s="39" t="s">
        <v>24</v>
      </c>
      <c r="K134" s="72">
        <v>19</v>
      </c>
      <c r="L134" s="73"/>
      <c r="M134" s="73"/>
      <c r="N134" s="73"/>
      <c r="O134" s="73"/>
      <c r="P134" s="51">
        <f t="shared" si="3"/>
        <v>19</v>
      </c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ht="15.75" hidden="1" customHeight="1" spans="1:28">
      <c r="A135" s="38" t="s">
        <v>18</v>
      </c>
      <c r="B135" s="35" t="s">
        <v>426</v>
      </c>
      <c r="C135" s="35" t="s">
        <v>67</v>
      </c>
      <c r="D135" s="35" t="s">
        <v>427</v>
      </c>
      <c r="E135" s="35" t="s">
        <v>428</v>
      </c>
      <c r="F135" s="35" t="s">
        <v>429</v>
      </c>
      <c r="G135" s="36">
        <v>45867</v>
      </c>
      <c r="H135" s="36">
        <v>45867</v>
      </c>
      <c r="I135" s="36">
        <v>45867</v>
      </c>
      <c r="J135" s="39" t="s">
        <v>24</v>
      </c>
      <c r="K135" s="72">
        <v>2690</v>
      </c>
      <c r="L135" s="73"/>
      <c r="M135" s="73"/>
      <c r="N135" s="73"/>
      <c r="O135" s="73"/>
      <c r="P135" s="51">
        <f t="shared" si="3"/>
        <v>2690</v>
      </c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ht="15.75" hidden="1" customHeight="1" spans="1:28">
      <c r="A136" s="38" t="s">
        <v>18</v>
      </c>
      <c r="B136" s="35" t="s">
        <v>430</v>
      </c>
      <c r="C136" s="35" t="s">
        <v>67</v>
      </c>
      <c r="D136" s="35" t="s">
        <v>427</v>
      </c>
      <c r="E136" s="35" t="s">
        <v>428</v>
      </c>
      <c r="F136" s="35" t="s">
        <v>431</v>
      </c>
      <c r="G136" s="36">
        <v>45868</v>
      </c>
      <c r="H136" s="36">
        <v>45869</v>
      </c>
      <c r="I136" s="36">
        <v>45869</v>
      </c>
      <c r="J136" s="39" t="s">
        <v>24</v>
      </c>
      <c r="K136" s="72">
        <v>120</v>
      </c>
      <c r="L136" s="73"/>
      <c r="M136" s="73"/>
      <c r="N136" s="73"/>
      <c r="O136" s="73"/>
      <c r="P136" s="51">
        <f t="shared" si="3"/>
        <v>120</v>
      </c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ht="15.75" hidden="1" customHeight="1" spans="1:28">
      <c r="A137" s="38" t="s">
        <v>18</v>
      </c>
      <c r="B137" s="35" t="s">
        <v>432</v>
      </c>
      <c r="C137" s="35" t="s">
        <v>67</v>
      </c>
      <c r="D137" s="35" t="s">
        <v>174</v>
      </c>
      <c r="E137" s="59" t="s">
        <v>433</v>
      </c>
      <c r="F137" s="35" t="s">
        <v>434</v>
      </c>
      <c r="G137" s="36">
        <v>45870</v>
      </c>
      <c r="H137" s="36">
        <v>45871</v>
      </c>
      <c r="I137" s="36">
        <v>45871</v>
      </c>
      <c r="J137" s="39" t="s">
        <v>24</v>
      </c>
      <c r="K137" s="72">
        <v>12750</v>
      </c>
      <c r="L137" s="73"/>
      <c r="M137" s="73"/>
      <c r="N137" s="73"/>
      <c r="O137" s="73"/>
      <c r="P137" s="51">
        <f t="shared" si="3"/>
        <v>12750</v>
      </c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ht="15.75" hidden="1" customHeight="1" spans="1:28">
      <c r="A138" s="38" t="s">
        <v>18</v>
      </c>
      <c r="B138" s="35" t="s">
        <v>435</v>
      </c>
      <c r="C138" s="35" t="s">
        <v>67</v>
      </c>
      <c r="D138" s="35" t="s">
        <v>174</v>
      </c>
      <c r="E138" s="35" t="s">
        <v>175</v>
      </c>
      <c r="F138" s="35" t="s">
        <v>436</v>
      </c>
      <c r="G138" s="36">
        <v>45870</v>
      </c>
      <c r="H138" s="36">
        <v>45870</v>
      </c>
      <c r="I138" s="36">
        <v>45870</v>
      </c>
      <c r="J138" s="39" t="s">
        <v>24</v>
      </c>
      <c r="K138" s="72">
        <v>1200</v>
      </c>
      <c r="L138" s="73"/>
      <c r="M138" s="73"/>
      <c r="N138" s="73"/>
      <c r="O138" s="73"/>
      <c r="P138" s="51">
        <f t="shared" si="3"/>
        <v>1200</v>
      </c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ht="15.75" hidden="1" customHeight="1" spans="1:28">
      <c r="A139" s="38" t="s">
        <v>18</v>
      </c>
      <c r="B139" s="35" t="s">
        <v>437</v>
      </c>
      <c r="C139" s="35" t="s">
        <v>438</v>
      </c>
      <c r="D139" s="35" t="s">
        <v>439</v>
      </c>
      <c r="E139" s="35" t="s">
        <v>440</v>
      </c>
      <c r="F139" s="35" t="s">
        <v>441</v>
      </c>
      <c r="G139" s="36">
        <v>45874</v>
      </c>
      <c r="H139" s="36"/>
      <c r="I139" s="36"/>
      <c r="J139" s="39"/>
      <c r="K139" s="72"/>
      <c r="L139" s="73"/>
      <c r="M139" s="73"/>
      <c r="N139" s="73"/>
      <c r="O139" s="73"/>
      <c r="P139" s="51" t="str">
        <f t="shared" si="3"/>
        <v/>
      </c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ht="15.75" hidden="1" customHeight="1" spans="1:28">
      <c r="A140" s="38" t="s">
        <v>18</v>
      </c>
      <c r="B140" s="40" t="s">
        <v>442</v>
      </c>
      <c r="C140" s="40" t="s">
        <v>438</v>
      </c>
      <c r="D140" s="40" t="s">
        <v>68</v>
      </c>
      <c r="E140" s="40" t="s">
        <v>443</v>
      </c>
      <c r="F140" s="40" t="s">
        <v>444</v>
      </c>
      <c r="G140" s="36">
        <v>45855</v>
      </c>
      <c r="H140" s="36">
        <v>45875</v>
      </c>
      <c r="I140" s="36">
        <v>45875</v>
      </c>
      <c r="J140" s="39" t="s">
        <v>24</v>
      </c>
      <c r="K140" s="72">
        <v>3811</v>
      </c>
      <c r="L140" s="73"/>
      <c r="M140" s="73"/>
      <c r="N140" s="73"/>
      <c r="O140" s="73"/>
      <c r="P140" s="51">
        <f t="shared" si="3"/>
        <v>3811</v>
      </c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ht="15.75" hidden="1" customHeight="1" spans="1:28">
      <c r="A141" s="38" t="s">
        <v>18</v>
      </c>
      <c r="B141" s="35" t="s">
        <v>445</v>
      </c>
      <c r="C141" s="35" t="s">
        <v>438</v>
      </c>
      <c r="D141" s="35" t="s">
        <v>68</v>
      </c>
      <c r="E141" s="35" t="s">
        <v>446</v>
      </c>
      <c r="F141" s="35" t="s">
        <v>447</v>
      </c>
      <c r="G141" s="36">
        <v>45874</v>
      </c>
      <c r="H141" s="36">
        <v>45877</v>
      </c>
      <c r="I141" s="36">
        <v>45877</v>
      </c>
      <c r="J141" s="39" t="s">
        <v>71</v>
      </c>
      <c r="K141" s="72">
        <v>883</v>
      </c>
      <c r="L141" s="73"/>
      <c r="M141" s="73"/>
      <c r="N141" s="73"/>
      <c r="O141" s="73"/>
      <c r="P141" s="51">
        <f t="shared" si="3"/>
        <v>821.19</v>
      </c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ht="15.75" hidden="1" customHeight="1" spans="1:28">
      <c r="A142" s="38" t="s">
        <v>18</v>
      </c>
      <c r="B142" s="1" t="s">
        <v>448</v>
      </c>
      <c r="C142" s="1" t="s">
        <v>67</v>
      </c>
      <c r="D142" s="1" t="s">
        <v>449</v>
      </c>
      <c r="E142" s="1" t="s">
        <v>175</v>
      </c>
      <c r="F142" s="1" t="s">
        <v>450</v>
      </c>
      <c r="G142" s="60">
        <v>45880</v>
      </c>
      <c r="H142" s="60">
        <v>45880</v>
      </c>
      <c r="I142" s="60">
        <v>45880</v>
      </c>
      <c r="J142" s="39" t="s">
        <v>24</v>
      </c>
      <c r="K142" s="74">
        <v>1408</v>
      </c>
      <c r="L142" s="75"/>
      <c r="M142" s="75"/>
      <c r="N142" s="75"/>
      <c r="O142" s="75"/>
      <c r="P142" s="51">
        <f t="shared" si="3"/>
        <v>1408</v>
      </c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ht="15.75" hidden="1" customHeight="1" spans="1:28">
      <c r="A143" s="38" t="s">
        <v>18</v>
      </c>
      <c r="B143" s="1" t="s">
        <v>451</v>
      </c>
      <c r="C143" s="1" t="s">
        <v>438</v>
      </c>
      <c r="D143" s="1" t="s">
        <v>68</v>
      </c>
      <c r="E143" s="1" t="s">
        <v>446</v>
      </c>
      <c r="F143" s="1" t="s">
        <v>452</v>
      </c>
      <c r="G143" s="60">
        <v>45881</v>
      </c>
      <c r="H143" s="60"/>
      <c r="I143" s="60"/>
      <c r="J143" s="2"/>
      <c r="K143" s="74"/>
      <c r="L143" s="75"/>
      <c r="M143" s="75"/>
      <c r="N143" s="75"/>
      <c r="O143" s="75"/>
      <c r="P143" s="51" t="str">
        <f t="shared" si="3"/>
        <v/>
      </c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ht="15.75" hidden="1" customHeight="1" spans="1:28">
      <c r="A144" s="38" t="s">
        <v>18</v>
      </c>
      <c r="B144" s="1" t="s">
        <v>453</v>
      </c>
      <c r="C144" s="1" t="s">
        <v>67</v>
      </c>
      <c r="D144" s="1" t="s">
        <v>206</v>
      </c>
      <c r="E144" s="1" t="s">
        <v>454</v>
      </c>
      <c r="F144" s="1" t="s">
        <v>455</v>
      </c>
      <c r="G144" s="60">
        <v>45881</v>
      </c>
      <c r="H144" s="60">
        <v>45881</v>
      </c>
      <c r="I144" s="60">
        <v>45881</v>
      </c>
      <c r="J144" s="39" t="s">
        <v>50</v>
      </c>
      <c r="K144" s="74">
        <v>150000</v>
      </c>
      <c r="L144" s="75"/>
      <c r="M144" s="75"/>
      <c r="N144" s="75"/>
      <c r="O144" s="75"/>
      <c r="P144" s="51">
        <f t="shared" si="3"/>
        <v>3600</v>
      </c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ht="15.75" hidden="1" customHeight="1" spans="1:28">
      <c r="A145" s="38" t="s">
        <v>18</v>
      </c>
      <c r="B145" s="1" t="s">
        <v>456</v>
      </c>
      <c r="C145" s="1" t="s">
        <v>438</v>
      </c>
      <c r="D145" s="1" t="s">
        <v>157</v>
      </c>
      <c r="E145" s="1" t="s">
        <v>158</v>
      </c>
      <c r="F145" s="1" t="s">
        <v>457</v>
      </c>
      <c r="G145" s="60">
        <v>45871</v>
      </c>
      <c r="H145" s="60">
        <v>45882</v>
      </c>
      <c r="I145" s="60">
        <v>45882</v>
      </c>
      <c r="J145" s="2" t="s">
        <v>24</v>
      </c>
      <c r="K145" s="74">
        <v>3500</v>
      </c>
      <c r="L145" s="75"/>
      <c r="M145" s="75"/>
      <c r="N145" s="75"/>
      <c r="O145" s="75"/>
      <c r="P145" s="51">
        <f t="shared" si="3"/>
        <v>3500</v>
      </c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ht="15.75" hidden="1" customHeight="1" spans="1:28">
      <c r="A146" s="38" t="s">
        <v>18</v>
      </c>
      <c r="B146" s="1" t="s">
        <v>458</v>
      </c>
      <c r="C146" s="1" t="s">
        <v>438</v>
      </c>
      <c r="D146" s="1" t="s">
        <v>157</v>
      </c>
      <c r="E146" s="1" t="s">
        <v>158</v>
      </c>
      <c r="F146" s="1" t="s">
        <v>459</v>
      </c>
      <c r="G146" s="60">
        <v>45883</v>
      </c>
      <c r="H146" s="60">
        <v>45883</v>
      </c>
      <c r="I146" s="60">
        <v>45883</v>
      </c>
      <c r="J146" s="2" t="s">
        <v>24</v>
      </c>
      <c r="K146" s="74">
        <v>1368</v>
      </c>
      <c r="L146" s="75"/>
      <c r="M146" s="75"/>
      <c r="N146" s="75"/>
      <c r="O146" s="75"/>
      <c r="P146" s="51">
        <f t="shared" si="3"/>
        <v>1368</v>
      </c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ht="15.75" hidden="1" customHeight="1" spans="1:28">
      <c r="A147" s="38" t="s">
        <v>18</v>
      </c>
      <c r="B147" s="1" t="s">
        <v>460</v>
      </c>
      <c r="C147" s="1" t="s">
        <v>67</v>
      </c>
      <c r="D147" s="1" t="s">
        <v>461</v>
      </c>
      <c r="E147" s="1" t="s">
        <v>462</v>
      </c>
      <c r="F147" s="1" t="s">
        <v>463</v>
      </c>
      <c r="G147" s="60">
        <v>45881</v>
      </c>
      <c r="H147" s="60">
        <v>45884</v>
      </c>
      <c r="I147" s="60">
        <v>45884</v>
      </c>
      <c r="J147" s="2" t="s">
        <v>24</v>
      </c>
      <c r="K147" s="74">
        <v>6500</v>
      </c>
      <c r="L147" s="75"/>
      <c r="M147" s="75"/>
      <c r="N147" s="75"/>
      <c r="O147" s="75"/>
      <c r="P147" s="51">
        <f t="shared" si="3"/>
        <v>6500</v>
      </c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ht="15.75" hidden="1" customHeight="1" spans="1:28">
      <c r="A148" s="38" t="s">
        <v>18</v>
      </c>
      <c r="B148" s="1" t="s">
        <v>464</v>
      </c>
      <c r="C148" s="1" t="s">
        <v>67</v>
      </c>
      <c r="D148" s="1" t="s">
        <v>96</v>
      </c>
      <c r="E148" s="1" t="s">
        <v>175</v>
      </c>
      <c r="F148" s="61" t="s">
        <v>465</v>
      </c>
      <c r="G148" s="60">
        <v>45884</v>
      </c>
      <c r="H148" s="60">
        <v>45884</v>
      </c>
      <c r="I148" s="60">
        <v>45884</v>
      </c>
      <c r="J148" s="2" t="s">
        <v>24</v>
      </c>
      <c r="K148" s="74">
        <v>1408</v>
      </c>
      <c r="L148" s="75"/>
      <c r="M148" s="75"/>
      <c r="N148" s="75"/>
      <c r="O148" s="75"/>
      <c r="P148" s="51">
        <f t="shared" si="3"/>
        <v>1408</v>
      </c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ht="15.75" hidden="1" customHeight="1" spans="1:28">
      <c r="A149" s="38" t="s">
        <v>18</v>
      </c>
      <c r="B149" s="1" t="s">
        <v>466</v>
      </c>
      <c r="C149" s="1" t="s">
        <v>67</v>
      </c>
      <c r="D149" s="1" t="s">
        <v>96</v>
      </c>
      <c r="E149" s="1" t="s">
        <v>175</v>
      </c>
      <c r="F149" s="1" t="s">
        <v>467</v>
      </c>
      <c r="G149" s="60">
        <v>45885</v>
      </c>
      <c r="H149" s="60">
        <v>45887</v>
      </c>
      <c r="I149" s="60">
        <v>45887</v>
      </c>
      <c r="J149" s="2" t="s">
        <v>24</v>
      </c>
      <c r="K149" s="74">
        <v>747</v>
      </c>
      <c r="L149" s="75"/>
      <c r="M149" s="75"/>
      <c r="N149" s="75"/>
      <c r="O149" s="75"/>
      <c r="P149" s="51">
        <f t="shared" si="3"/>
        <v>747</v>
      </c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ht="15.75" hidden="1" customHeight="1" spans="1:28">
      <c r="A150" s="38" t="s">
        <v>18</v>
      </c>
      <c r="B150" s="1" t="s">
        <v>468</v>
      </c>
      <c r="C150" s="1" t="s">
        <v>89</v>
      </c>
      <c r="D150" s="1" t="s">
        <v>157</v>
      </c>
      <c r="E150" s="1" t="s">
        <v>158</v>
      </c>
      <c r="F150" s="1" t="s">
        <v>469</v>
      </c>
      <c r="G150" s="60">
        <v>45890</v>
      </c>
      <c r="H150" s="60">
        <v>45890</v>
      </c>
      <c r="I150" s="60">
        <v>45890</v>
      </c>
      <c r="J150" s="2" t="s">
        <v>24</v>
      </c>
      <c r="K150" s="74">
        <v>7500</v>
      </c>
      <c r="L150" s="75"/>
      <c r="M150" s="75"/>
      <c r="N150" s="75"/>
      <c r="O150" s="75"/>
      <c r="P150" s="51">
        <f t="shared" si="3"/>
        <v>7500</v>
      </c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ht="15.75" hidden="1" customHeight="1" spans="1:28">
      <c r="A151" s="38" t="s">
        <v>18</v>
      </c>
      <c r="B151" s="1" t="s">
        <v>470</v>
      </c>
      <c r="C151" s="1" t="s">
        <v>67</v>
      </c>
      <c r="D151" s="1" t="s">
        <v>174</v>
      </c>
      <c r="E151" s="1" t="s">
        <v>175</v>
      </c>
      <c r="F151" s="1" t="s">
        <v>471</v>
      </c>
      <c r="G151" s="60">
        <v>45896</v>
      </c>
      <c r="H151" s="60">
        <v>45896</v>
      </c>
      <c r="I151" s="60">
        <v>45896</v>
      </c>
      <c r="J151" s="2" t="s">
        <v>24</v>
      </c>
      <c r="K151" s="74">
        <v>1425</v>
      </c>
      <c r="L151" s="75"/>
      <c r="M151" s="75"/>
      <c r="N151" s="75"/>
      <c r="O151" s="75"/>
      <c r="P151" s="51">
        <f t="shared" si="3"/>
        <v>1425</v>
      </c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ht="15.75" hidden="1" customHeight="1" spans="1:28">
      <c r="A152" s="38" t="s">
        <v>18</v>
      </c>
      <c r="B152" s="1" t="s">
        <v>472</v>
      </c>
      <c r="C152" s="1" t="s">
        <v>67</v>
      </c>
      <c r="D152" s="1" t="s">
        <v>473</v>
      </c>
      <c r="E152" s="1" t="s">
        <v>474</v>
      </c>
      <c r="F152" s="1" t="s">
        <v>475</v>
      </c>
      <c r="G152" s="60">
        <v>45898</v>
      </c>
      <c r="H152" s="60">
        <v>45898</v>
      </c>
      <c r="I152" s="60">
        <v>45898</v>
      </c>
      <c r="J152" s="2" t="s">
        <v>24</v>
      </c>
      <c r="K152" s="74">
        <v>625</v>
      </c>
      <c r="L152" s="75"/>
      <c r="M152" s="75"/>
      <c r="N152" s="75"/>
      <c r="O152" s="75"/>
      <c r="P152" s="51">
        <f t="shared" si="3"/>
        <v>625</v>
      </c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ht="15.75" customHeight="1" spans="1:28">
      <c r="A153" s="38" t="s">
        <v>18</v>
      </c>
      <c r="B153" s="1" t="s">
        <v>694</v>
      </c>
      <c r="C153" s="1" t="s">
        <v>695</v>
      </c>
      <c r="D153" s="1" t="s">
        <v>47</v>
      </c>
      <c r="E153" s="1" t="s">
        <v>48</v>
      </c>
      <c r="F153" s="1" t="s">
        <v>696</v>
      </c>
      <c r="G153" s="60">
        <v>45939</v>
      </c>
      <c r="H153" s="60">
        <v>45945</v>
      </c>
      <c r="I153" s="60">
        <v>45945</v>
      </c>
      <c r="J153" s="2" t="s">
        <v>50</v>
      </c>
      <c r="K153" s="74" t="s">
        <v>697</v>
      </c>
      <c r="L153" s="75"/>
      <c r="M153" s="75"/>
      <c r="N153" s="75"/>
      <c r="O153" s="75"/>
      <c r="P153" s="51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ht="15.75" customHeight="1" spans="1:28">
      <c r="A154" s="38" t="s">
        <v>18</v>
      </c>
      <c r="B154" s="1" t="s">
        <v>698</v>
      </c>
      <c r="C154" s="1" t="s">
        <v>695</v>
      </c>
      <c r="D154" s="1" t="s">
        <v>47</v>
      </c>
      <c r="E154" s="1" t="s">
        <v>48</v>
      </c>
      <c r="F154" s="62" t="s">
        <v>699</v>
      </c>
      <c r="G154" s="60">
        <v>45939</v>
      </c>
      <c r="H154" s="60">
        <v>45945</v>
      </c>
      <c r="I154" s="60">
        <v>45945</v>
      </c>
      <c r="J154" s="2" t="s">
        <v>50</v>
      </c>
      <c r="K154" s="74" t="s">
        <v>697</v>
      </c>
      <c r="L154" s="75"/>
      <c r="M154" s="75"/>
      <c r="N154" s="75"/>
      <c r="O154" s="75"/>
      <c r="P154" s="51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ht="15.75" customHeight="1" spans="1:28">
      <c r="A155" s="38" t="s">
        <v>18</v>
      </c>
      <c r="B155" s="1" t="s">
        <v>700</v>
      </c>
      <c r="C155" s="1" t="s">
        <v>695</v>
      </c>
      <c r="D155" s="1" t="s">
        <v>47</v>
      </c>
      <c r="E155" s="1" t="s">
        <v>48</v>
      </c>
      <c r="F155" s="1" t="s">
        <v>701</v>
      </c>
      <c r="G155" s="60">
        <v>45939</v>
      </c>
      <c r="H155" s="60">
        <v>45945</v>
      </c>
      <c r="I155" s="60">
        <v>45945</v>
      </c>
      <c r="J155" s="2" t="s">
        <v>50</v>
      </c>
      <c r="K155" s="74" t="s">
        <v>697</v>
      </c>
      <c r="L155" s="75"/>
      <c r="M155" s="75"/>
      <c r="N155" s="75"/>
      <c r="O155" s="75"/>
      <c r="P155" s="51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ht="15.75" customHeight="1" spans="1:28">
      <c r="A156" s="38" t="s">
        <v>18</v>
      </c>
      <c r="B156" s="1" t="s">
        <v>702</v>
      </c>
      <c r="C156" s="1" t="s">
        <v>695</v>
      </c>
      <c r="D156" s="1" t="s">
        <v>47</v>
      </c>
      <c r="E156" s="1" t="s">
        <v>48</v>
      </c>
      <c r="F156" s="1" t="s">
        <v>703</v>
      </c>
      <c r="G156" s="60">
        <v>45939</v>
      </c>
      <c r="H156" s="60">
        <v>45945</v>
      </c>
      <c r="I156" s="60">
        <v>45945</v>
      </c>
      <c r="J156" s="2" t="s">
        <v>50</v>
      </c>
      <c r="K156" s="74" t="s">
        <v>704</v>
      </c>
      <c r="L156" s="75"/>
      <c r="M156" s="75"/>
      <c r="N156" s="75"/>
      <c r="O156" s="75"/>
      <c r="P156" s="51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ht="15.75" customHeight="1" spans="1:28">
      <c r="A157" s="38" t="s">
        <v>18</v>
      </c>
      <c r="B157" s="1" t="s">
        <v>705</v>
      </c>
      <c r="C157" s="1" t="s">
        <v>695</v>
      </c>
      <c r="D157" s="1" t="s">
        <v>47</v>
      </c>
      <c r="E157" s="1" t="s">
        <v>48</v>
      </c>
      <c r="F157" s="1" t="s">
        <v>706</v>
      </c>
      <c r="G157" s="60">
        <v>45939</v>
      </c>
      <c r="H157" s="60">
        <v>45945</v>
      </c>
      <c r="I157" s="60">
        <v>45945</v>
      </c>
      <c r="J157" s="2" t="s">
        <v>50</v>
      </c>
      <c r="K157" s="74" t="s">
        <v>707</v>
      </c>
      <c r="L157" s="75"/>
      <c r="M157" s="75"/>
      <c r="N157" s="75"/>
      <c r="O157" s="75"/>
      <c r="P157" s="51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ht="15.75" customHeight="1" spans="1:28">
      <c r="A158" s="38" t="s">
        <v>18</v>
      </c>
      <c r="B158" s="1" t="s">
        <v>708</v>
      </c>
      <c r="C158" s="1" t="s">
        <v>67</v>
      </c>
      <c r="D158" s="1" t="s">
        <v>709</v>
      </c>
      <c r="E158" s="1" t="s">
        <v>710</v>
      </c>
      <c r="F158" s="1" t="s">
        <v>553</v>
      </c>
      <c r="G158" s="60">
        <v>45938</v>
      </c>
      <c r="H158" s="60">
        <v>45940</v>
      </c>
      <c r="I158" s="60">
        <v>45940</v>
      </c>
      <c r="J158" s="2" t="s">
        <v>24</v>
      </c>
      <c r="K158" s="74">
        <v>15</v>
      </c>
      <c r="L158" s="75"/>
      <c r="M158" s="75"/>
      <c r="N158" s="75"/>
      <c r="O158" s="75"/>
      <c r="P158" s="51">
        <f t="shared" ref="P158:P170" si="4">IF(J158="€",IF(O158&lt;&gt;"",O158,IF(N158&lt;&gt;"",N158,IF(M158&lt;&gt;"",M158,IF(L158&lt;&gt;"",L158,IF(K158&lt;&gt;"",K158,""))))),IF(J158="$",IF(O158&lt;&gt;"",O158,IF(N158&lt;&gt;"",N158,IF(M158&lt;&gt;"",M158,IF(L158&lt;&gt;"",L158,IF(K158&lt;&gt;"",K158,"")))))*0.93,IF(J158="TRY",IF(O158&lt;&gt;"",O158,IF(N158&lt;&gt;"",N158,IF(M158&lt;&gt;"",M158,IF(L158&lt;&gt;"",L158,IF(K158&lt;&gt;"",K158,"")))))*0.024,"")))</f>
        <v>15</v>
      </c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ht="15.75" customHeight="1" spans="1:28">
      <c r="A159" s="38" t="s">
        <v>18</v>
      </c>
      <c r="B159" s="1" t="s">
        <v>711</v>
      </c>
      <c r="C159" s="1" t="s">
        <v>67</v>
      </c>
      <c r="D159" s="1" t="s">
        <v>174</v>
      </c>
      <c r="E159" s="1" t="s">
        <v>175</v>
      </c>
      <c r="F159" s="1" t="s">
        <v>712</v>
      </c>
      <c r="G159" s="60">
        <v>45940</v>
      </c>
      <c r="H159" s="60">
        <v>45940</v>
      </c>
      <c r="I159" s="60">
        <v>45940</v>
      </c>
      <c r="J159" s="2" t="s">
        <v>24</v>
      </c>
      <c r="K159" s="74">
        <v>49.2</v>
      </c>
      <c r="L159" s="75"/>
      <c r="M159" s="75"/>
      <c r="N159" s="75"/>
      <c r="O159" s="75"/>
      <c r="P159" s="51">
        <f t="shared" si="4"/>
        <v>49.2</v>
      </c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ht="15.75" customHeight="1" spans="1:28">
      <c r="A160" s="38" t="s">
        <v>18</v>
      </c>
      <c r="B160" s="1" t="s">
        <v>713</v>
      </c>
      <c r="C160" s="1" t="s">
        <v>67</v>
      </c>
      <c r="D160" s="1" t="s">
        <v>150</v>
      </c>
      <c r="E160" s="1" t="s">
        <v>175</v>
      </c>
      <c r="F160" s="1" t="s">
        <v>714</v>
      </c>
      <c r="G160" s="60">
        <v>45944</v>
      </c>
      <c r="H160" s="60">
        <v>45945</v>
      </c>
      <c r="I160" s="60">
        <v>45945</v>
      </c>
      <c r="J160" s="2" t="s">
        <v>24</v>
      </c>
      <c r="K160" s="74">
        <v>436.3</v>
      </c>
      <c r="L160" s="75"/>
      <c r="M160" s="75"/>
      <c r="N160" s="75"/>
      <c r="O160" s="75"/>
      <c r="P160" s="51">
        <f t="shared" si="4"/>
        <v>436.3</v>
      </c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ht="15.75" customHeight="1" spans="1:28">
      <c r="A161" s="38" t="s">
        <v>18</v>
      </c>
      <c r="B161" s="1" t="s">
        <v>715</v>
      </c>
      <c r="C161" s="1" t="s">
        <v>341</v>
      </c>
      <c r="D161" s="1" t="s">
        <v>157</v>
      </c>
      <c r="E161" s="1" t="s">
        <v>716</v>
      </c>
      <c r="F161" s="1" t="s">
        <v>717</v>
      </c>
      <c r="G161" s="60">
        <v>45947</v>
      </c>
      <c r="H161" s="60">
        <v>45947</v>
      </c>
      <c r="I161" s="60">
        <v>45947</v>
      </c>
      <c r="J161" s="2" t="s">
        <v>24</v>
      </c>
      <c r="K161" s="74">
        <v>9100</v>
      </c>
      <c r="L161" s="76">
        <v>8250</v>
      </c>
      <c r="M161" s="75"/>
      <c r="N161" s="75"/>
      <c r="O161" s="75"/>
      <c r="P161" s="51">
        <f t="shared" si="4"/>
        <v>8250</v>
      </c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ht="15.75" customHeight="1" spans="1:28">
      <c r="A162" s="38" t="s">
        <v>18</v>
      </c>
      <c r="B162" s="1" t="s">
        <v>718</v>
      </c>
      <c r="C162" s="1" t="s">
        <v>67</v>
      </c>
      <c r="D162" s="1" t="s">
        <v>150</v>
      </c>
      <c r="E162" s="1" t="s">
        <v>175</v>
      </c>
      <c r="F162" s="1" t="s">
        <v>719</v>
      </c>
      <c r="G162" s="60">
        <v>45947</v>
      </c>
      <c r="H162" s="60">
        <v>45947</v>
      </c>
      <c r="I162" s="60">
        <v>45947</v>
      </c>
      <c r="J162" s="2" t="s">
        <v>24</v>
      </c>
      <c r="K162" s="74">
        <v>148.2</v>
      </c>
      <c r="L162" s="75"/>
      <c r="M162" s="75"/>
      <c r="N162" s="75"/>
      <c r="O162" s="75"/>
      <c r="P162" s="51">
        <f t="shared" si="4"/>
        <v>148.2</v>
      </c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ht="15.75" customHeight="1" spans="1:28">
      <c r="A163" s="38" t="s">
        <v>18</v>
      </c>
      <c r="B163" s="1" t="s">
        <v>720</v>
      </c>
      <c r="C163" s="1" t="s">
        <v>67</v>
      </c>
      <c r="D163" s="1" t="s">
        <v>150</v>
      </c>
      <c r="E163" s="1" t="s">
        <v>175</v>
      </c>
      <c r="F163" s="1" t="s">
        <v>721</v>
      </c>
      <c r="G163" s="60">
        <v>45947</v>
      </c>
      <c r="H163" s="60">
        <v>45947</v>
      </c>
      <c r="I163" s="60">
        <v>45947</v>
      </c>
      <c r="J163" s="2" t="s">
        <v>24</v>
      </c>
      <c r="K163" s="74">
        <v>3098</v>
      </c>
      <c r="L163" s="75"/>
      <c r="M163" s="75"/>
      <c r="N163" s="75"/>
      <c r="O163" s="75"/>
      <c r="P163" s="51">
        <f t="shared" si="4"/>
        <v>3098</v>
      </c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ht="15.75" customHeight="1" spans="1:28">
      <c r="A164" s="38" t="s">
        <v>18</v>
      </c>
      <c r="B164" s="1" t="s">
        <v>722</v>
      </c>
      <c r="C164" s="1" t="s">
        <v>67</v>
      </c>
      <c r="D164" s="1" t="s">
        <v>150</v>
      </c>
      <c r="E164" s="1" t="s">
        <v>175</v>
      </c>
      <c r="F164" s="1" t="s">
        <v>721</v>
      </c>
      <c r="G164" s="60">
        <v>45947</v>
      </c>
      <c r="H164" s="60">
        <v>45947</v>
      </c>
      <c r="I164" s="60">
        <v>45947</v>
      </c>
      <c r="J164" s="2" t="s">
        <v>24</v>
      </c>
      <c r="K164" s="74">
        <v>3360</v>
      </c>
      <c r="L164" s="75"/>
      <c r="M164" s="75"/>
      <c r="N164" s="75"/>
      <c r="O164" s="75"/>
      <c r="P164" s="51">
        <f t="shared" si="4"/>
        <v>3360</v>
      </c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ht="15.75" customHeight="1" spans="1:28">
      <c r="A165" s="38" t="s">
        <v>18</v>
      </c>
      <c r="B165" s="1" t="s">
        <v>723</v>
      </c>
      <c r="C165" s="1" t="s">
        <v>341</v>
      </c>
      <c r="D165" s="1" t="s">
        <v>724</v>
      </c>
      <c r="E165" s="1" t="s">
        <v>725</v>
      </c>
      <c r="F165" s="1" t="s">
        <v>726</v>
      </c>
      <c r="G165" s="60">
        <v>45947</v>
      </c>
      <c r="H165" s="60">
        <v>45964</v>
      </c>
      <c r="I165" s="60">
        <v>45964</v>
      </c>
      <c r="J165" s="2" t="s">
        <v>24</v>
      </c>
      <c r="K165" s="74">
        <v>23730</v>
      </c>
      <c r="L165" s="2">
        <v>3135</v>
      </c>
      <c r="M165" s="75"/>
      <c r="N165" s="75"/>
      <c r="O165" s="75"/>
      <c r="P165" s="51">
        <f t="shared" si="4"/>
        <v>3135</v>
      </c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ht="15.75" customHeight="1" spans="1:28">
      <c r="A166" s="38" t="s">
        <v>18</v>
      </c>
      <c r="B166" s="1" t="s">
        <v>727</v>
      </c>
      <c r="C166" s="1" t="s">
        <v>67</v>
      </c>
      <c r="D166" s="1" t="s">
        <v>150</v>
      </c>
      <c r="E166" s="1" t="s">
        <v>175</v>
      </c>
      <c r="F166" s="1" t="s">
        <v>728</v>
      </c>
      <c r="G166" s="60">
        <v>45952</v>
      </c>
      <c r="H166" s="60">
        <v>45952</v>
      </c>
      <c r="I166" s="60">
        <v>45952</v>
      </c>
      <c r="J166" s="2" t="s">
        <v>24</v>
      </c>
      <c r="K166" s="74">
        <v>15800</v>
      </c>
      <c r="L166" s="75"/>
      <c r="M166" s="75"/>
      <c r="N166" s="75"/>
      <c r="O166" s="75"/>
      <c r="P166" s="51">
        <f t="shared" si="4"/>
        <v>15800</v>
      </c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ht="15.75" customHeight="1" spans="1:28">
      <c r="A167" s="38" t="s">
        <v>18</v>
      </c>
      <c r="B167" s="1" t="s">
        <v>729</v>
      </c>
      <c r="C167" s="1" t="s">
        <v>67</v>
      </c>
      <c r="D167" s="1" t="s">
        <v>482</v>
      </c>
      <c r="E167" s="1" t="s">
        <v>730</v>
      </c>
      <c r="F167" s="1" t="s">
        <v>731</v>
      </c>
      <c r="G167" s="60">
        <v>45960</v>
      </c>
      <c r="H167" s="60">
        <v>45968</v>
      </c>
      <c r="I167" s="60">
        <v>45968</v>
      </c>
      <c r="J167" s="2" t="s">
        <v>24</v>
      </c>
      <c r="K167" s="74"/>
      <c r="L167" s="75"/>
      <c r="M167" s="75"/>
      <c r="N167" s="75"/>
      <c r="O167" s="75"/>
      <c r="P167" s="51" t="str">
        <f t="shared" si="4"/>
        <v/>
      </c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ht="15.75" customHeight="1" spans="1:28">
      <c r="A168" s="38" t="s">
        <v>18</v>
      </c>
      <c r="B168" s="1" t="s">
        <v>732</v>
      </c>
      <c r="C168" s="1" t="s">
        <v>67</v>
      </c>
      <c r="D168" s="1" t="s">
        <v>121</v>
      </c>
      <c r="E168" s="1" t="s">
        <v>733</v>
      </c>
      <c r="F168" s="1" t="s">
        <v>734</v>
      </c>
      <c r="G168" s="60">
        <v>45966</v>
      </c>
      <c r="H168" s="60">
        <v>45978</v>
      </c>
      <c r="I168" s="60">
        <v>45978</v>
      </c>
      <c r="J168" s="2" t="s">
        <v>24</v>
      </c>
      <c r="K168" s="74">
        <v>177600</v>
      </c>
      <c r="L168" s="2">
        <v>128000</v>
      </c>
      <c r="M168" s="75"/>
      <c r="N168" s="75"/>
      <c r="O168" s="75"/>
      <c r="P168" s="51">
        <f t="shared" si="4"/>
        <v>128000</v>
      </c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ht="15.75" customHeight="1" spans="1:28">
      <c r="A169" s="38" t="s">
        <v>18</v>
      </c>
      <c r="B169" s="1" t="s">
        <v>735</v>
      </c>
      <c r="C169" s="1" t="s">
        <v>67</v>
      </c>
      <c r="D169" s="1" t="s">
        <v>736</v>
      </c>
      <c r="E169" s="1" t="s">
        <v>737</v>
      </c>
      <c r="F169" s="1" t="s">
        <v>738</v>
      </c>
      <c r="G169" s="60">
        <v>45965</v>
      </c>
      <c r="H169" s="60">
        <v>45966</v>
      </c>
      <c r="I169" s="60">
        <v>45966</v>
      </c>
      <c r="J169" s="2" t="s">
        <v>24</v>
      </c>
      <c r="K169" s="74">
        <v>1200</v>
      </c>
      <c r="L169" s="75"/>
      <c r="M169" s="75"/>
      <c r="N169" s="75"/>
      <c r="O169" s="75"/>
      <c r="P169" s="51">
        <f t="shared" si="4"/>
        <v>1200</v>
      </c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ht="15.75" customHeight="1" spans="1:28">
      <c r="A170" s="38" t="s">
        <v>18</v>
      </c>
      <c r="B170" s="1" t="s">
        <v>739</v>
      </c>
      <c r="C170" s="1" t="s">
        <v>67</v>
      </c>
      <c r="D170" s="1" t="s">
        <v>482</v>
      </c>
      <c r="E170" s="1" t="s">
        <v>730</v>
      </c>
      <c r="F170" s="1" t="s">
        <v>740</v>
      </c>
      <c r="G170" s="60">
        <v>45966</v>
      </c>
      <c r="H170" s="60">
        <v>45971</v>
      </c>
      <c r="I170" s="60">
        <v>45971</v>
      </c>
      <c r="J170" s="2" t="s">
        <v>24</v>
      </c>
      <c r="K170" s="74">
        <v>80000</v>
      </c>
      <c r="L170" s="75"/>
      <c r="M170" s="75"/>
      <c r="N170" s="75"/>
      <c r="O170" s="75"/>
      <c r="P170" s="51">
        <f t="shared" si="4"/>
        <v>80000</v>
      </c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ht="15.75" customHeight="1" spans="1:28">
      <c r="A171" s="38" t="s">
        <v>18</v>
      </c>
      <c r="B171" s="1" t="s">
        <v>741</v>
      </c>
      <c r="C171" s="1" t="s">
        <v>67</v>
      </c>
      <c r="D171" s="1" t="s">
        <v>525</v>
      </c>
      <c r="E171" s="1" t="s">
        <v>742</v>
      </c>
      <c r="F171" s="1" t="s">
        <v>743</v>
      </c>
      <c r="G171" s="60">
        <v>45971</v>
      </c>
      <c r="H171" s="60">
        <v>45980</v>
      </c>
      <c r="I171" s="60">
        <v>45980</v>
      </c>
      <c r="J171" s="2" t="s">
        <v>528</v>
      </c>
      <c r="K171" s="74">
        <v>44000</v>
      </c>
      <c r="L171" s="2">
        <v>25500</v>
      </c>
      <c r="M171" s="75"/>
      <c r="N171" s="75"/>
      <c r="O171" s="75"/>
      <c r="P171" s="51">
        <v>50000</v>
      </c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ht="15.75" customHeight="1" spans="1:28">
      <c r="A172" s="38" t="s">
        <v>18</v>
      </c>
      <c r="B172" s="1" t="s">
        <v>744</v>
      </c>
      <c r="C172" s="1" t="s">
        <v>67</v>
      </c>
      <c r="D172" s="1" t="s">
        <v>96</v>
      </c>
      <c r="E172" s="1" t="s">
        <v>684</v>
      </c>
      <c r="F172" s="1" t="s">
        <v>745</v>
      </c>
      <c r="G172" s="60">
        <v>45971</v>
      </c>
      <c r="H172" s="63">
        <v>46029</v>
      </c>
      <c r="I172" s="60">
        <v>46013</v>
      </c>
      <c r="J172" s="77" t="s">
        <v>71</v>
      </c>
      <c r="K172" s="74">
        <v>3012523</v>
      </c>
      <c r="L172" s="2">
        <v>1700000</v>
      </c>
      <c r="M172" s="75"/>
      <c r="N172" s="75"/>
      <c r="O172" s="75"/>
      <c r="P172" s="51">
        <f t="shared" ref="P172:P180" si="5">IF(J172="€",IF(O172&lt;&gt;"",O172,IF(N172&lt;&gt;"",N172,IF(M172&lt;&gt;"",M172,IF(L172&lt;&gt;"",L172,IF(K172&lt;&gt;"",K172,""))))),IF(J172="$",IF(O172&lt;&gt;"",O172,IF(N172&lt;&gt;"",N172,IF(M172&lt;&gt;"",M172,IF(L172&lt;&gt;"",L172,IF(K172&lt;&gt;"",K172,"")))))*0.93,IF(J172="TRY",IF(O172&lt;&gt;"",O172,IF(N172&lt;&gt;"",N172,IF(M172&lt;&gt;"",M172,IF(L172&lt;&gt;"",L172,IF(K172&lt;&gt;"",K172,"")))))*0.024,"")))</f>
        <v>1581000</v>
      </c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ht="15.75" customHeight="1" spans="1:28">
      <c r="A173" s="38" t="s">
        <v>18</v>
      </c>
      <c r="B173" s="1" t="s">
        <v>746</v>
      </c>
      <c r="C173" s="1" t="s">
        <v>341</v>
      </c>
      <c r="D173" s="1" t="s">
        <v>157</v>
      </c>
      <c r="E173" s="1" t="s">
        <v>747</v>
      </c>
      <c r="F173" s="1" t="s">
        <v>748</v>
      </c>
      <c r="G173" s="60">
        <v>45980</v>
      </c>
      <c r="H173" s="60">
        <v>45980</v>
      </c>
      <c r="I173" s="60">
        <v>45980</v>
      </c>
      <c r="J173" s="2" t="s">
        <v>24</v>
      </c>
      <c r="K173" s="74">
        <v>24</v>
      </c>
      <c r="L173" s="75"/>
      <c r="M173" s="75"/>
      <c r="N173" s="75"/>
      <c r="O173" s="75"/>
      <c r="P173" s="51">
        <f t="shared" si="5"/>
        <v>24</v>
      </c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ht="15.75" customHeight="1" spans="1:28">
      <c r="A174" s="38" t="s">
        <v>18</v>
      </c>
      <c r="B174" s="1" t="s">
        <v>749</v>
      </c>
      <c r="C174" s="1" t="s">
        <v>67</v>
      </c>
      <c r="D174" s="1" t="s">
        <v>150</v>
      </c>
      <c r="E174" s="1" t="s">
        <v>175</v>
      </c>
      <c r="F174" s="1" t="s">
        <v>750</v>
      </c>
      <c r="G174" s="60">
        <v>45980</v>
      </c>
      <c r="H174" s="60">
        <v>45980</v>
      </c>
      <c r="I174" s="60">
        <v>45980</v>
      </c>
      <c r="J174" s="2" t="s">
        <v>24</v>
      </c>
      <c r="K174" s="74">
        <v>1500</v>
      </c>
      <c r="L174" s="75"/>
      <c r="M174" s="75"/>
      <c r="N174" s="75"/>
      <c r="O174" s="75"/>
      <c r="P174" s="51">
        <f t="shared" si="5"/>
        <v>1500</v>
      </c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ht="15.75" customHeight="1" spans="1:28">
      <c r="A175" s="38" t="s">
        <v>18</v>
      </c>
      <c r="B175" s="1" t="s">
        <v>751</v>
      </c>
      <c r="C175" s="1" t="s">
        <v>67</v>
      </c>
      <c r="D175" s="1" t="s">
        <v>157</v>
      </c>
      <c r="E175" s="1" t="s">
        <v>716</v>
      </c>
      <c r="F175" s="1" t="s">
        <v>752</v>
      </c>
      <c r="G175" s="60">
        <v>45986</v>
      </c>
      <c r="H175" s="60">
        <v>45988</v>
      </c>
      <c r="I175" s="60">
        <v>45989</v>
      </c>
      <c r="J175" s="2" t="s">
        <v>24</v>
      </c>
      <c r="K175" s="74">
        <v>9750</v>
      </c>
      <c r="L175" s="2">
        <v>6000</v>
      </c>
      <c r="M175" s="75"/>
      <c r="N175" s="75"/>
      <c r="O175" s="75"/>
      <c r="P175" s="51">
        <f t="shared" si="5"/>
        <v>6000</v>
      </c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ht="15.75" customHeight="1" spans="1:28">
      <c r="A176" s="38" t="s">
        <v>18</v>
      </c>
      <c r="B176" s="1" t="s">
        <v>753</v>
      </c>
      <c r="C176" s="1" t="s">
        <v>67</v>
      </c>
      <c r="D176" s="1" t="s">
        <v>754</v>
      </c>
      <c r="E176" s="1" t="s">
        <v>755</v>
      </c>
      <c r="F176" s="1" t="s">
        <v>756</v>
      </c>
      <c r="G176" s="60">
        <v>45994</v>
      </c>
      <c r="H176" s="60">
        <v>45994</v>
      </c>
      <c r="I176" s="60">
        <v>45994</v>
      </c>
      <c r="J176" s="2" t="s">
        <v>24</v>
      </c>
      <c r="K176" s="74">
        <v>2500</v>
      </c>
      <c r="L176" s="75"/>
      <c r="M176" s="75"/>
      <c r="N176" s="75"/>
      <c r="O176" s="75"/>
      <c r="P176" s="51">
        <f t="shared" si="5"/>
        <v>2500</v>
      </c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ht="15.75" customHeight="1" spans="1:28">
      <c r="A177" s="38" t="s">
        <v>18</v>
      </c>
      <c r="B177" s="1" t="s">
        <v>757</v>
      </c>
      <c r="C177" s="1" t="s">
        <v>67</v>
      </c>
      <c r="D177" s="1" t="s">
        <v>157</v>
      </c>
      <c r="E177" s="1" t="s">
        <v>758</v>
      </c>
      <c r="F177" s="1" t="s">
        <v>759</v>
      </c>
      <c r="G177" s="60">
        <v>45992</v>
      </c>
      <c r="H177" s="60">
        <v>45994</v>
      </c>
      <c r="I177" s="60">
        <v>45994</v>
      </c>
      <c r="J177" s="2" t="s">
        <v>24</v>
      </c>
      <c r="K177" s="74">
        <v>2400</v>
      </c>
      <c r="L177" s="75"/>
      <c r="M177" s="75"/>
      <c r="N177" s="75"/>
      <c r="O177" s="75"/>
      <c r="P177" s="51">
        <f t="shared" si="5"/>
        <v>2400</v>
      </c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ht="15.75" customHeight="1" spans="1:28">
      <c r="A178" s="38" t="s">
        <v>18</v>
      </c>
      <c r="B178" s="1" t="s">
        <v>760</v>
      </c>
      <c r="C178" s="1" t="s">
        <v>67</v>
      </c>
      <c r="D178" s="1" t="s">
        <v>157</v>
      </c>
      <c r="E178" s="1" t="s">
        <v>213</v>
      </c>
      <c r="F178" s="1" t="s">
        <v>761</v>
      </c>
      <c r="G178" s="60">
        <v>45995</v>
      </c>
      <c r="H178" s="60">
        <v>45996</v>
      </c>
      <c r="I178" s="60">
        <v>45996</v>
      </c>
      <c r="J178" s="2" t="s">
        <v>24</v>
      </c>
      <c r="K178" s="74">
        <v>7900</v>
      </c>
      <c r="L178" s="2">
        <v>4500</v>
      </c>
      <c r="M178" s="75"/>
      <c r="N178" s="75"/>
      <c r="O178" s="75"/>
      <c r="P178" s="51">
        <f t="shared" si="5"/>
        <v>4500</v>
      </c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ht="15.75" customHeight="1" spans="1:28">
      <c r="A179" s="38" t="s">
        <v>18</v>
      </c>
      <c r="B179" s="1" t="s">
        <v>762</v>
      </c>
      <c r="C179" s="1" t="s">
        <v>67</v>
      </c>
      <c r="D179" s="1" t="s">
        <v>157</v>
      </c>
      <c r="E179" s="1" t="s">
        <v>763</v>
      </c>
      <c r="F179" s="1" t="s">
        <v>764</v>
      </c>
      <c r="G179" s="60">
        <v>46006</v>
      </c>
      <c r="H179" s="60">
        <v>46006</v>
      </c>
      <c r="I179" s="60">
        <v>46006</v>
      </c>
      <c r="J179" s="2" t="s">
        <v>24</v>
      </c>
      <c r="K179" s="74">
        <v>1300</v>
      </c>
      <c r="L179" s="2">
        <v>1000</v>
      </c>
      <c r="M179" s="75"/>
      <c r="N179" s="75"/>
      <c r="O179" s="75"/>
      <c r="P179" s="51">
        <f t="shared" si="5"/>
        <v>1000</v>
      </c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ht="15.75" customHeight="1" spans="1:28">
      <c r="A180" s="38" t="s">
        <v>18</v>
      </c>
      <c r="B180" s="64" t="s">
        <v>351</v>
      </c>
      <c r="C180" s="65"/>
      <c r="D180" s="65" t="s">
        <v>352</v>
      </c>
      <c r="E180" s="65" t="s">
        <v>353</v>
      </c>
      <c r="F180" s="66" t="s">
        <v>354</v>
      </c>
      <c r="G180" s="60"/>
      <c r="H180" s="60"/>
      <c r="I180" s="78">
        <v>45857</v>
      </c>
      <c r="J180" s="79" t="s">
        <v>24</v>
      </c>
      <c r="K180" s="80">
        <v>517000</v>
      </c>
      <c r="L180" s="75"/>
      <c r="M180" s="75"/>
      <c r="N180" s="75"/>
      <c r="O180" s="75"/>
      <c r="P180" s="80">
        <v>517000</v>
      </c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customHeight="1" spans="1:16">
      <c r="A181" s="38" t="s">
        <v>18</v>
      </c>
      <c r="B181" s="64" t="s">
        <v>765</v>
      </c>
      <c r="C181" s="65"/>
      <c r="D181" s="65" t="s">
        <v>766</v>
      </c>
      <c r="E181" s="65" t="s">
        <v>767</v>
      </c>
      <c r="F181" s="66" t="s">
        <v>768</v>
      </c>
      <c r="I181" s="78">
        <v>45979</v>
      </c>
      <c r="J181" s="79" t="s">
        <v>24</v>
      </c>
      <c r="K181" s="80">
        <v>120300</v>
      </c>
      <c r="P181" s="80">
        <v>120300</v>
      </c>
    </row>
    <row r="182" customHeight="1" spans="1:16">
      <c r="A182" s="38" t="s">
        <v>18</v>
      </c>
      <c r="B182" s="64" t="s">
        <v>769</v>
      </c>
      <c r="C182" s="65" t="s">
        <v>770</v>
      </c>
      <c r="D182" s="65" t="s">
        <v>771</v>
      </c>
      <c r="E182" s="65" t="s">
        <v>772</v>
      </c>
      <c r="F182" s="66" t="s">
        <v>773</v>
      </c>
      <c r="I182" s="78">
        <v>46022</v>
      </c>
      <c r="J182" s="79" t="s">
        <v>24</v>
      </c>
      <c r="K182" s="80">
        <v>27500</v>
      </c>
      <c r="P182" s="80">
        <v>27500</v>
      </c>
    </row>
    <row r="183" customHeight="1" spans="1:16">
      <c r="A183" s="38" t="s">
        <v>18</v>
      </c>
      <c r="B183" s="67" t="s">
        <v>774</v>
      </c>
      <c r="C183" s="68" t="s">
        <v>775</v>
      </c>
      <c r="D183" s="68" t="s">
        <v>327</v>
      </c>
      <c r="E183" s="68" t="s">
        <v>48</v>
      </c>
      <c r="F183" s="69" t="s">
        <v>776</v>
      </c>
      <c r="I183" s="81">
        <v>46030</v>
      </c>
      <c r="J183" s="82" t="s">
        <v>777</v>
      </c>
      <c r="K183" s="83" t="s">
        <v>778</v>
      </c>
      <c r="P183" s="83" t="s">
        <v>778</v>
      </c>
    </row>
    <row r="184" customHeight="1" spans="1:16">
      <c r="A184" s="38" t="s">
        <v>18</v>
      </c>
      <c r="B184" s="67" t="s">
        <v>779</v>
      </c>
      <c r="C184" s="68" t="s">
        <v>780</v>
      </c>
      <c r="D184" s="68" t="s">
        <v>781</v>
      </c>
      <c r="E184" s="68" t="s">
        <v>782</v>
      </c>
      <c r="F184" s="70" t="s">
        <v>783</v>
      </c>
      <c r="I184" s="81">
        <v>46031</v>
      </c>
      <c r="J184" s="82" t="s">
        <v>24</v>
      </c>
      <c r="K184" s="84">
        <v>276500</v>
      </c>
      <c r="P184" s="84">
        <v>276500</v>
      </c>
    </row>
    <row r="185" customHeight="1" spans="1:16">
      <c r="A185" s="38" t="s">
        <v>18</v>
      </c>
      <c r="B185" s="67" t="s">
        <v>784</v>
      </c>
      <c r="C185" s="68" t="s">
        <v>785</v>
      </c>
      <c r="D185" s="68" t="s">
        <v>786</v>
      </c>
      <c r="E185" s="68" t="s">
        <v>725</v>
      </c>
      <c r="F185" s="70" t="s">
        <v>787</v>
      </c>
      <c r="I185" s="81">
        <v>45964</v>
      </c>
      <c r="J185" s="82" t="s">
        <v>24</v>
      </c>
      <c r="K185" s="84">
        <v>3135</v>
      </c>
      <c r="P185" s="84">
        <v>3135</v>
      </c>
    </row>
    <row r="186" customHeight="1" spans="1:16">
      <c r="A186" s="38" t="s">
        <v>18</v>
      </c>
      <c r="B186" s="71" t="s">
        <v>788</v>
      </c>
      <c r="C186" s="71" t="s">
        <v>669</v>
      </c>
      <c r="D186" s="71" t="s">
        <v>134</v>
      </c>
      <c r="E186" s="71" t="s">
        <v>203</v>
      </c>
      <c r="F186" s="71" t="s">
        <v>789</v>
      </c>
      <c r="I186" s="85"/>
      <c r="J186" s="86" t="s">
        <v>24</v>
      </c>
      <c r="K186" s="87">
        <v>28000</v>
      </c>
      <c r="P186" s="87">
        <v>28000</v>
      </c>
    </row>
    <row r="187" customHeight="1" spans="1:16">
      <c r="A187" s="38" t="s">
        <v>18</v>
      </c>
      <c r="B187" s="67" t="s">
        <v>790</v>
      </c>
      <c r="C187" s="68" t="s">
        <v>791</v>
      </c>
      <c r="D187" s="68" t="s">
        <v>327</v>
      </c>
      <c r="E187" s="68" t="s">
        <v>48</v>
      </c>
      <c r="F187" s="70" t="s">
        <v>792</v>
      </c>
      <c r="I187" s="81">
        <v>46043</v>
      </c>
      <c r="J187" s="82" t="s">
        <v>777</v>
      </c>
      <c r="K187" s="84">
        <v>37040.67</v>
      </c>
      <c r="P187" s="84">
        <v>37040.67</v>
      </c>
    </row>
    <row r="188" customHeight="1" spans="1:16">
      <c r="A188" s="38" t="s">
        <v>18</v>
      </c>
      <c r="B188" s="67" t="s">
        <v>793</v>
      </c>
      <c r="C188" s="68" t="s">
        <v>785</v>
      </c>
      <c r="D188" s="68" t="s">
        <v>228</v>
      </c>
      <c r="E188" s="68" t="s">
        <v>794</v>
      </c>
      <c r="F188" s="70" t="s">
        <v>795</v>
      </c>
      <c r="I188" s="81">
        <v>46052</v>
      </c>
      <c r="J188" s="82" t="s">
        <v>24</v>
      </c>
      <c r="K188" s="84">
        <v>11000</v>
      </c>
      <c r="P188" s="84">
        <v>11000</v>
      </c>
    </row>
    <row r="189" customHeight="1" spans="1:16">
      <c r="A189" s="38" t="s">
        <v>18</v>
      </c>
      <c r="B189" s="67" t="s">
        <v>796</v>
      </c>
      <c r="C189" s="68" t="s">
        <v>797</v>
      </c>
      <c r="D189" s="68" t="s">
        <v>798</v>
      </c>
      <c r="E189" s="68" t="s">
        <v>799</v>
      </c>
      <c r="F189" s="70" t="s">
        <v>800</v>
      </c>
      <c r="I189" s="81">
        <v>46048</v>
      </c>
      <c r="J189" s="82" t="s">
        <v>24</v>
      </c>
      <c r="K189" s="84">
        <v>8000</v>
      </c>
      <c r="P189" s="84">
        <v>8000</v>
      </c>
    </row>
    <row r="190" customHeight="1" spans="1:16">
      <c r="A190" s="38" t="s">
        <v>18</v>
      </c>
      <c r="B190" s="67" t="s">
        <v>801</v>
      </c>
      <c r="C190" s="68" t="s">
        <v>802</v>
      </c>
      <c r="D190" s="68" t="s">
        <v>803</v>
      </c>
      <c r="E190" s="68" t="s">
        <v>804</v>
      </c>
      <c r="F190" s="70" t="s">
        <v>805</v>
      </c>
      <c r="I190" s="81"/>
      <c r="J190" s="82" t="s">
        <v>24</v>
      </c>
      <c r="K190" s="84">
        <v>35000</v>
      </c>
      <c r="P190" s="84">
        <v>35000</v>
      </c>
    </row>
    <row r="191" customHeight="1" spans="1:16">
      <c r="A191" s="38" t="s">
        <v>18</v>
      </c>
      <c r="B191" s="67" t="s">
        <v>806</v>
      </c>
      <c r="C191" s="68" t="s">
        <v>807</v>
      </c>
      <c r="D191" s="68" t="s">
        <v>424</v>
      </c>
      <c r="E191" s="68" t="s">
        <v>710</v>
      </c>
      <c r="F191" s="70" t="s">
        <v>808</v>
      </c>
      <c r="I191" s="81">
        <v>46052</v>
      </c>
      <c r="J191" s="82" t="s">
        <v>24</v>
      </c>
      <c r="K191" s="84">
        <v>27500</v>
      </c>
      <c r="P191" s="84">
        <v>27500</v>
      </c>
    </row>
    <row r="192" customHeight="1" spans="1:16">
      <c r="A192" s="38" t="s">
        <v>18</v>
      </c>
      <c r="B192" s="67" t="s">
        <v>809</v>
      </c>
      <c r="C192" s="68" t="s">
        <v>791</v>
      </c>
      <c r="D192" s="68" t="s">
        <v>810</v>
      </c>
      <c r="E192" s="68" t="s">
        <v>767</v>
      </c>
      <c r="F192" s="70" t="s">
        <v>811</v>
      </c>
      <c r="I192" s="81">
        <v>46052</v>
      </c>
      <c r="J192" s="82" t="s">
        <v>24</v>
      </c>
      <c r="K192" s="84">
        <v>75000</v>
      </c>
      <c r="P192" s="84">
        <v>75000</v>
      </c>
    </row>
    <row r="193" customHeight="1" spans="1:16">
      <c r="A193" s="38" t="s">
        <v>18</v>
      </c>
      <c r="B193" s="67" t="s">
        <v>812</v>
      </c>
      <c r="C193" s="68" t="s">
        <v>669</v>
      </c>
      <c r="D193" s="68" t="s">
        <v>134</v>
      </c>
      <c r="E193" s="68" t="s">
        <v>586</v>
      </c>
      <c r="F193" s="70" t="s">
        <v>813</v>
      </c>
      <c r="I193" s="81">
        <v>46064</v>
      </c>
      <c r="J193" s="82" t="s">
        <v>24</v>
      </c>
      <c r="K193" s="84">
        <v>1065</v>
      </c>
      <c r="P193" s="84">
        <v>1065</v>
      </c>
    </row>
    <row r="194" customHeight="1" spans="1:16">
      <c r="A194" s="38" t="s">
        <v>18</v>
      </c>
      <c r="B194" s="67" t="s">
        <v>814</v>
      </c>
      <c r="C194" s="68" t="s">
        <v>797</v>
      </c>
      <c r="D194" s="68" t="s">
        <v>803</v>
      </c>
      <c r="E194" s="68" t="s">
        <v>80</v>
      </c>
      <c r="F194" s="70" t="s">
        <v>815</v>
      </c>
      <c r="I194" s="81">
        <v>46070</v>
      </c>
      <c r="J194" s="82" t="s">
        <v>24</v>
      </c>
      <c r="K194" s="84">
        <v>7000</v>
      </c>
      <c r="P194" s="84">
        <v>7000</v>
      </c>
    </row>
    <row r="195" customHeight="1" spans="1:16">
      <c r="A195" s="38" t="s">
        <v>18</v>
      </c>
      <c r="B195" s="67" t="s">
        <v>816</v>
      </c>
      <c r="C195" s="68" t="s">
        <v>817</v>
      </c>
      <c r="D195" s="68" t="s">
        <v>157</v>
      </c>
      <c r="E195" s="68" t="s">
        <v>158</v>
      </c>
      <c r="F195" s="70" t="s">
        <v>818</v>
      </c>
      <c r="I195" s="81">
        <v>46070</v>
      </c>
      <c r="J195" s="82" t="s">
        <v>24</v>
      </c>
      <c r="K195" s="84">
        <v>210000</v>
      </c>
      <c r="P195" s="84">
        <v>210000</v>
      </c>
    </row>
  </sheetData>
  <mergeCells count="2">
    <mergeCell ref="A2:E2"/>
    <mergeCell ref="F2:Q2"/>
  </mergeCells>
  <dataValidations count="3">
    <dataValidation type="list" allowBlank="1" showErrorMessage="1" sqref="A4:A104">
      <formula1>#REF!</formula1>
    </dataValidation>
    <dataValidation type="list" allowBlank="1" showErrorMessage="1" sqref="A105:A152 A153:A179 A180:A195">
      <formula1>#REF!</formula1>
    </dataValidation>
    <dataValidation type="custom" allowBlank="1" sqref="L4:L104 P4:P104">
      <formula1>AND(ISNUMBER(L4),(NOT(OR(NOT(ISERROR(DATEVALUE(L4))),AND(ISNUMBER(L4),LEFT(CELL("format",L4))="D")))))</formula1>
    </dataValidation>
  </dataValidations>
  <pageMargins left="0.75" right="0.75" top="1" bottom="1" header="0.5" footer="0.5"/>
  <headerFooter/>
  <drawing r:id="rId2"/>
  <legacyDrawing r:id="rId3"/>
  <tableParts count="5"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BİTEN İŞLER</vt:lpstr>
      <vt:lpstr>DEVAM EDEN İŞLER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Adem Soylu</cp:lastModifiedBy>
  <dcterms:created xsi:type="dcterms:W3CDTF">2024-10-25T14:33:00Z</dcterms:created>
  <dcterms:modified xsi:type="dcterms:W3CDTF">2026-03-16T14:07:27Z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CC43ACA7B3C2440AB51889BFB81C18A2_12</vt:lpwstr>
  </property>
  <property fmtid="{D5CDD505-2E9C-101B-9397-08002B2CF9AE}" pid="3" name="KSOProductBuildVer">
    <vt:lpwstr>1033-12.2.0.22549</vt:lpwstr>
  </property>
</Properties>
</file>